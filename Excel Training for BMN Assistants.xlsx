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/>
  <mc:AlternateContent xmlns:mc="http://schemas.openxmlformats.org/markup-compatibility/2006">
    <mc:Choice Requires="x15">
      <x15ac:absPath xmlns:x15ac="http://schemas.microsoft.com/office/spreadsheetml/2010/11/ac" url="C:\Users\Haji Hamid\Documents\"/>
    </mc:Choice>
  </mc:AlternateContent>
  <xr:revisionPtr revIDLastSave="0" documentId="13_ncr:1_{404C1312-D13B-4A09-8BBC-FA54845AE3EF}" xr6:coauthVersionLast="38" xr6:coauthVersionMax="38" xr10:uidLastSave="{00000000-0000-0000-0000-000000000000}"/>
  <bookViews>
    <workbookView xWindow="0" yWindow="0" windowWidth="28800" windowHeight="11325" tabRatio="500" activeTab="3" xr2:uid="{00000000-000D-0000-FFFF-FFFF00000000}"/>
  </bookViews>
  <sheets>
    <sheet name="Master Kode BMN" sheetId="2" r:id="rId1"/>
    <sheet name="Dataset" sheetId="3" r:id="rId2"/>
    <sheet name="Penyusutan" sheetId="4" r:id="rId3"/>
    <sheet name="Dashboard BMN" sheetId="5" r:id="rId4"/>
    <sheet name="Calc_Dashboard" sheetId="6" r:id="rId5"/>
  </sheets>
  <definedNames>
    <definedName name="_xlnm._FilterDatabase" localSheetId="3" hidden="1">'Dashboard BMN'!$B$38:$N$63</definedName>
    <definedName name="SlicerCache_Table_1_Col_3">#N/A</definedName>
    <definedName name="SlicerCache_Table_1_Col_5">#N/A</definedName>
    <definedName name="SlicerCache_Table_1_Col_6">#N/A</definedName>
    <definedName name="SlicerCache_Table_1_Col_7">#N/A</definedName>
    <definedName name="Z_DD29BB10_5E37_4D85_94EC_721AF964C695_.wvu.FilterData" localSheetId="3" hidden="1">'Dashboard BMN'!$B$38:$N$63</definedName>
  </definedNames>
  <calcPr calcId="179021"/>
  <pivotCaches>
    <pivotCache cacheId="0" r:id="rId6"/>
  </pivotCaches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Q15" i="6" l="1"/>
  <c r="P15" i="6"/>
  <c r="Q14" i="6"/>
  <c r="P14" i="6"/>
  <c r="Q13" i="6"/>
  <c r="P13" i="6"/>
  <c r="Q12" i="6"/>
  <c r="P12" i="6"/>
  <c r="Q11" i="6"/>
  <c r="P11" i="6"/>
  <c r="Q10" i="6"/>
  <c r="P10" i="6"/>
  <c r="Q9" i="6"/>
  <c r="P9" i="6"/>
  <c r="S8" i="6"/>
  <c r="R8" i="6"/>
  <c r="Q8" i="6"/>
  <c r="P8" i="6"/>
  <c r="S7" i="6"/>
  <c r="R7" i="6"/>
  <c r="Q7" i="6"/>
  <c r="P7" i="6"/>
  <c r="S6" i="6"/>
  <c r="R6" i="6"/>
  <c r="Q6" i="6"/>
  <c r="P6" i="6"/>
  <c r="I63" i="5"/>
  <c r="F63" i="5"/>
  <c r="E63" i="5"/>
  <c r="C63" i="5"/>
  <c r="B63" i="5"/>
  <c r="I62" i="5"/>
  <c r="F62" i="5"/>
  <c r="E62" i="5"/>
  <c r="C62" i="5"/>
  <c r="B62" i="5"/>
  <c r="I61" i="5"/>
  <c r="F61" i="5"/>
  <c r="E61" i="5"/>
  <c r="C61" i="5"/>
  <c r="B61" i="5"/>
  <c r="I60" i="5"/>
  <c r="F60" i="5"/>
  <c r="E60" i="5"/>
  <c r="C60" i="5"/>
  <c r="B60" i="5"/>
  <c r="I59" i="5"/>
  <c r="F59" i="5"/>
  <c r="E59" i="5"/>
  <c r="C59" i="5"/>
  <c r="B59" i="5"/>
  <c r="I58" i="5"/>
  <c r="F58" i="5"/>
  <c r="E58" i="5"/>
  <c r="C58" i="5"/>
  <c r="B58" i="5"/>
  <c r="I57" i="5"/>
  <c r="F57" i="5"/>
  <c r="E57" i="5"/>
  <c r="C57" i="5"/>
  <c r="B57" i="5"/>
  <c r="I56" i="5"/>
  <c r="F56" i="5"/>
  <c r="E56" i="5"/>
  <c r="C56" i="5"/>
  <c r="B56" i="5"/>
  <c r="I55" i="5"/>
  <c r="F55" i="5"/>
  <c r="E55" i="5"/>
  <c r="C55" i="5"/>
  <c r="B55" i="5"/>
  <c r="I54" i="5"/>
  <c r="F54" i="5"/>
  <c r="E54" i="5"/>
  <c r="C54" i="5"/>
  <c r="B54" i="5"/>
  <c r="I53" i="5"/>
  <c r="F53" i="5"/>
  <c r="E53" i="5"/>
  <c r="C53" i="5"/>
  <c r="B53" i="5"/>
  <c r="I52" i="5"/>
  <c r="F52" i="5"/>
  <c r="E52" i="5"/>
  <c r="C52" i="5"/>
  <c r="B52" i="5"/>
  <c r="I51" i="5"/>
  <c r="F51" i="5"/>
  <c r="E51" i="5"/>
  <c r="C51" i="5"/>
  <c r="B51" i="5"/>
  <c r="I50" i="5"/>
  <c r="F50" i="5"/>
  <c r="E50" i="5"/>
  <c r="C50" i="5"/>
  <c r="B50" i="5"/>
  <c r="I49" i="5"/>
  <c r="F49" i="5"/>
  <c r="E49" i="5"/>
  <c r="C49" i="5"/>
  <c r="B49" i="5"/>
  <c r="I48" i="5"/>
  <c r="F48" i="5"/>
  <c r="E48" i="5"/>
  <c r="C48" i="5"/>
  <c r="B48" i="5"/>
  <c r="I47" i="5"/>
  <c r="F47" i="5"/>
  <c r="E47" i="5"/>
  <c r="C47" i="5"/>
  <c r="B47" i="5"/>
  <c r="I46" i="5"/>
  <c r="F46" i="5"/>
  <c r="E46" i="5"/>
  <c r="C46" i="5"/>
  <c r="B46" i="5"/>
  <c r="I45" i="5"/>
  <c r="F45" i="5"/>
  <c r="E45" i="5"/>
  <c r="C45" i="5"/>
  <c r="B45" i="5"/>
  <c r="I44" i="5"/>
  <c r="F44" i="5"/>
  <c r="E44" i="5"/>
  <c r="C44" i="5"/>
  <c r="B44" i="5"/>
  <c r="I43" i="5"/>
  <c r="F43" i="5"/>
  <c r="E43" i="5"/>
  <c r="C43" i="5"/>
  <c r="B43" i="5"/>
  <c r="I42" i="5"/>
  <c r="F42" i="5"/>
  <c r="E42" i="5"/>
  <c r="C42" i="5"/>
  <c r="B42" i="5"/>
  <c r="I41" i="5"/>
  <c r="F41" i="5"/>
  <c r="E41" i="5"/>
  <c r="C41" i="5"/>
  <c r="B41" i="5"/>
  <c r="I40" i="5"/>
  <c r="F40" i="5"/>
  <c r="E40" i="5"/>
  <c r="C40" i="5"/>
  <c r="B40" i="5"/>
  <c r="J39" i="5"/>
  <c r="I39" i="5"/>
  <c r="F39" i="5"/>
  <c r="E39" i="5"/>
  <c r="C39" i="5"/>
  <c r="B39" i="5"/>
  <c r="G29" i="4"/>
  <c r="J63" i="5" s="1"/>
  <c r="G28" i="4"/>
  <c r="J62" i="5" s="1"/>
  <c r="G27" i="4"/>
  <c r="J61" i="5" s="1"/>
  <c r="G26" i="4"/>
  <c r="J60" i="5" s="1"/>
  <c r="G25" i="4"/>
  <c r="J59" i="5" s="1"/>
  <c r="G24" i="4"/>
  <c r="J58" i="5" s="1"/>
  <c r="G23" i="4"/>
  <c r="J57" i="5" s="1"/>
  <c r="G22" i="4"/>
  <c r="J56" i="5" s="1"/>
  <c r="G21" i="4"/>
  <c r="J55" i="5" s="1"/>
  <c r="G20" i="4"/>
  <c r="J54" i="5" s="1"/>
  <c r="G19" i="4"/>
  <c r="J53" i="5" s="1"/>
  <c r="G18" i="4"/>
  <c r="J52" i="5" s="1"/>
  <c r="G17" i="4"/>
  <c r="J51" i="5" s="1"/>
  <c r="G16" i="4"/>
  <c r="J50" i="5" s="1"/>
  <c r="G15" i="4"/>
  <c r="J49" i="5" s="1"/>
  <c r="G14" i="4"/>
  <c r="J48" i="5" s="1"/>
  <c r="G13" i="4"/>
  <c r="J47" i="5" s="1"/>
  <c r="G12" i="4"/>
  <c r="J46" i="5" s="1"/>
  <c r="G11" i="4"/>
  <c r="J45" i="5" s="1"/>
  <c r="G10" i="4"/>
  <c r="J44" i="5" s="1"/>
  <c r="G9" i="4"/>
  <c r="J43" i="5" s="1"/>
  <c r="G8" i="4"/>
  <c r="J42" i="5" s="1"/>
  <c r="G7" i="4"/>
  <c r="J41" i="5" s="1"/>
  <c r="G6" i="4"/>
  <c r="J40" i="5" s="1"/>
  <c r="G5" i="4"/>
  <c r="D42" i="3"/>
  <c r="D41" i="3"/>
  <c r="C36" i="3"/>
  <c r="B36" i="3"/>
  <c r="C35" i="3"/>
  <c r="C37" i="3" s="1"/>
  <c r="B35" i="3"/>
  <c r="C34" i="3"/>
  <c r="B34" i="3"/>
  <c r="B37" i="3" s="1"/>
  <c r="P29" i="3"/>
  <c r="M29" i="3"/>
  <c r="O29" i="3" s="1"/>
  <c r="J29" i="3"/>
  <c r="K29" i="3" s="1"/>
  <c r="H63" i="5" s="1"/>
  <c r="H29" i="3"/>
  <c r="G63" i="5" s="1"/>
  <c r="E29" i="3"/>
  <c r="D63" i="5" s="1"/>
  <c r="M28" i="3"/>
  <c r="P28" i="3" s="1"/>
  <c r="J28" i="3"/>
  <c r="K28" i="3" s="1"/>
  <c r="H62" i="5" s="1"/>
  <c r="H28" i="3"/>
  <c r="G62" i="5" s="1"/>
  <c r="E28" i="3"/>
  <c r="L28" i="3" s="1"/>
  <c r="M27" i="3"/>
  <c r="P27" i="3" s="1"/>
  <c r="J27" i="3"/>
  <c r="K27" i="3" s="1"/>
  <c r="H61" i="5" s="1"/>
  <c r="H27" i="3"/>
  <c r="G61" i="5" s="1"/>
  <c r="E27" i="3"/>
  <c r="D61" i="5" s="1"/>
  <c r="O26" i="3"/>
  <c r="N26" i="3"/>
  <c r="M26" i="3"/>
  <c r="P26" i="3" s="1"/>
  <c r="J26" i="3"/>
  <c r="K26" i="3" s="1"/>
  <c r="H60" i="5" s="1"/>
  <c r="H26" i="3"/>
  <c r="G60" i="5" s="1"/>
  <c r="E26" i="3"/>
  <c r="D60" i="5" s="1"/>
  <c r="O25" i="3"/>
  <c r="M25" i="3"/>
  <c r="N25" i="3" s="1"/>
  <c r="K25" i="3"/>
  <c r="H59" i="5" s="1"/>
  <c r="J25" i="3"/>
  <c r="H25" i="3"/>
  <c r="G59" i="5" s="1"/>
  <c r="E25" i="3"/>
  <c r="D59" i="5" s="1"/>
  <c r="P24" i="3"/>
  <c r="M24" i="3"/>
  <c r="O24" i="3" s="1"/>
  <c r="J24" i="3"/>
  <c r="K24" i="3" s="1"/>
  <c r="H58" i="5" s="1"/>
  <c r="H24" i="3"/>
  <c r="G58" i="5" s="1"/>
  <c r="E24" i="3"/>
  <c r="D58" i="5" s="1"/>
  <c r="O58" i="5" s="1"/>
  <c r="M23" i="3"/>
  <c r="P23" i="3" s="1"/>
  <c r="J23" i="3"/>
  <c r="K23" i="3" s="1"/>
  <c r="H57" i="5" s="1"/>
  <c r="H23" i="3"/>
  <c r="G57" i="5" s="1"/>
  <c r="E23" i="3"/>
  <c r="D57" i="5" s="1"/>
  <c r="O57" i="5" s="1"/>
  <c r="O22" i="3"/>
  <c r="N22" i="3"/>
  <c r="M22" i="3"/>
  <c r="P22" i="3" s="1"/>
  <c r="J22" i="3"/>
  <c r="K22" i="3" s="1"/>
  <c r="H56" i="5" s="1"/>
  <c r="H22" i="3"/>
  <c r="G56" i="5" s="1"/>
  <c r="E22" i="3"/>
  <c r="D56" i="5" s="1"/>
  <c r="P21" i="3"/>
  <c r="O21" i="3"/>
  <c r="M21" i="3"/>
  <c r="N21" i="3" s="1"/>
  <c r="K21" i="3"/>
  <c r="H55" i="5" s="1"/>
  <c r="J21" i="3"/>
  <c r="H21" i="3"/>
  <c r="G55" i="5" s="1"/>
  <c r="E21" i="3"/>
  <c r="D55" i="5" s="1"/>
  <c r="P20" i="3"/>
  <c r="M20" i="3"/>
  <c r="O20" i="3" s="1"/>
  <c r="J20" i="3"/>
  <c r="K20" i="3" s="1"/>
  <c r="H54" i="5" s="1"/>
  <c r="H20" i="3"/>
  <c r="G54" i="5" s="1"/>
  <c r="E20" i="3"/>
  <c r="D54" i="5" s="1"/>
  <c r="M19" i="3"/>
  <c r="P19" i="3" s="1"/>
  <c r="J19" i="3"/>
  <c r="K19" i="3" s="1"/>
  <c r="H53" i="5" s="1"/>
  <c r="H19" i="3"/>
  <c r="G53" i="5" s="1"/>
  <c r="E19" i="3"/>
  <c r="D53" i="5" s="1"/>
  <c r="O18" i="3"/>
  <c r="N18" i="3"/>
  <c r="M18" i="3"/>
  <c r="P18" i="3" s="1"/>
  <c r="J18" i="3"/>
  <c r="K18" i="3" s="1"/>
  <c r="H52" i="5" s="1"/>
  <c r="H18" i="3"/>
  <c r="G52" i="5" s="1"/>
  <c r="E18" i="3"/>
  <c r="D52" i="5" s="1"/>
  <c r="O52" i="5" s="1"/>
  <c r="P17" i="3"/>
  <c r="O17" i="3"/>
  <c r="M17" i="3"/>
  <c r="N17" i="3" s="1"/>
  <c r="K17" i="3"/>
  <c r="H51" i="5" s="1"/>
  <c r="J17" i="3"/>
  <c r="H17" i="3"/>
  <c r="G51" i="5" s="1"/>
  <c r="E17" i="3"/>
  <c r="D51" i="5" s="1"/>
  <c r="P16" i="3"/>
  <c r="M16" i="3"/>
  <c r="O16" i="3" s="1"/>
  <c r="J16" i="3"/>
  <c r="K16" i="3" s="1"/>
  <c r="H50" i="5" s="1"/>
  <c r="H16" i="3"/>
  <c r="G50" i="5" s="1"/>
  <c r="E16" i="3"/>
  <c r="D50" i="5" s="1"/>
  <c r="O50" i="5" s="1"/>
  <c r="M15" i="3"/>
  <c r="P15" i="3" s="1"/>
  <c r="J15" i="3"/>
  <c r="K15" i="3" s="1"/>
  <c r="H49" i="5" s="1"/>
  <c r="H15" i="3"/>
  <c r="G49" i="5" s="1"/>
  <c r="E15" i="3"/>
  <c r="D49" i="5" s="1"/>
  <c r="O49" i="5" s="1"/>
  <c r="O14" i="3"/>
  <c r="N14" i="3"/>
  <c r="M14" i="3"/>
  <c r="P14" i="3" s="1"/>
  <c r="J14" i="3"/>
  <c r="K14" i="3" s="1"/>
  <c r="H48" i="5" s="1"/>
  <c r="H14" i="3"/>
  <c r="G48" i="5" s="1"/>
  <c r="E14" i="3"/>
  <c r="D48" i="5" s="1"/>
  <c r="P13" i="3"/>
  <c r="O13" i="3"/>
  <c r="N13" i="3"/>
  <c r="M13" i="3"/>
  <c r="K13" i="3"/>
  <c r="H47" i="5" s="1"/>
  <c r="J13" i="3"/>
  <c r="H13" i="3"/>
  <c r="G47" i="5" s="1"/>
  <c r="E13" i="3"/>
  <c r="D47" i="5" s="1"/>
  <c r="P12" i="3"/>
  <c r="M12" i="3"/>
  <c r="O12" i="3" s="1"/>
  <c r="K12" i="3"/>
  <c r="H46" i="5" s="1"/>
  <c r="J12" i="3"/>
  <c r="H12" i="3"/>
  <c r="G46" i="5" s="1"/>
  <c r="E12" i="3"/>
  <c r="D46" i="5" s="1"/>
  <c r="M11" i="3"/>
  <c r="P11" i="3" s="1"/>
  <c r="J11" i="3"/>
  <c r="K11" i="3" s="1"/>
  <c r="H45" i="5" s="1"/>
  <c r="H11" i="3"/>
  <c r="G45" i="5" s="1"/>
  <c r="E11" i="3"/>
  <c r="D45" i="5" s="1"/>
  <c r="O45" i="5" s="1"/>
  <c r="O10" i="3"/>
  <c r="N10" i="3"/>
  <c r="M10" i="3"/>
  <c r="P10" i="3" s="1"/>
  <c r="J10" i="3"/>
  <c r="K10" i="3" s="1"/>
  <c r="H44" i="5" s="1"/>
  <c r="H10" i="3"/>
  <c r="G44" i="5" s="1"/>
  <c r="E10" i="3"/>
  <c r="D44" i="5" s="1"/>
  <c r="P9" i="3"/>
  <c r="O9" i="3"/>
  <c r="N9" i="3"/>
  <c r="M9" i="3"/>
  <c r="K9" i="3"/>
  <c r="H43" i="5" s="1"/>
  <c r="J9" i="3"/>
  <c r="H9" i="3"/>
  <c r="G43" i="5" s="1"/>
  <c r="E9" i="3"/>
  <c r="P8" i="3"/>
  <c r="M8" i="3"/>
  <c r="O8" i="3" s="1"/>
  <c r="K8" i="3"/>
  <c r="H42" i="5" s="1"/>
  <c r="J8" i="3"/>
  <c r="H8" i="3"/>
  <c r="G42" i="5" s="1"/>
  <c r="E8" i="3"/>
  <c r="C8" i="4" s="1" a="1"/>
  <c r="C8" i="4" s="1"/>
  <c r="H8" i="4" s="1" a="1"/>
  <c r="H8" i="4" s="1"/>
  <c r="M7" i="3"/>
  <c r="P7" i="3" s="1"/>
  <c r="J7" i="3"/>
  <c r="K7" i="3" s="1"/>
  <c r="H41" i="5" s="1"/>
  <c r="H7" i="3"/>
  <c r="G41" i="5" s="1"/>
  <c r="E7" i="3"/>
  <c r="D41" i="5" s="1"/>
  <c r="O41" i="5" s="1"/>
  <c r="N6" i="3"/>
  <c r="M6" i="3"/>
  <c r="P6" i="3" s="1"/>
  <c r="J6" i="3"/>
  <c r="K6" i="3" s="1"/>
  <c r="H40" i="5" s="1"/>
  <c r="H6" i="3"/>
  <c r="G40" i="5" s="1"/>
  <c r="E6" i="3"/>
  <c r="D40" i="5" s="1"/>
  <c r="P5" i="3"/>
  <c r="O5" i="3"/>
  <c r="N5" i="3"/>
  <c r="M5" i="3"/>
  <c r="K5" i="3"/>
  <c r="H39" i="5" s="1"/>
  <c r="J5" i="3"/>
  <c r="H5" i="3"/>
  <c r="G39" i="5" s="1"/>
  <c r="E5" i="3"/>
  <c r="D39" i="5" s="1"/>
  <c r="O46" i="5" l="1"/>
  <c r="O54" i="5"/>
  <c r="O61" i="5"/>
  <c r="O63" i="5"/>
  <c r="O51" i="5"/>
  <c r="O59" i="5"/>
  <c r="O44" i="5"/>
  <c r="O47" i="5"/>
  <c r="O48" i="5"/>
  <c r="O53" i="5"/>
  <c r="O56" i="5"/>
  <c r="O39" i="5"/>
  <c r="H5" i="6" s="1"/>
  <c r="O40" i="5"/>
  <c r="H6" i="6" s="1"/>
  <c r="O55" i="5"/>
  <c r="O60" i="5"/>
  <c r="K42" i="5"/>
  <c r="I8" i="4"/>
  <c r="L16" i="3"/>
  <c r="L5" i="3"/>
  <c r="O6" i="3"/>
  <c r="N7" i="3"/>
  <c r="D43" i="5"/>
  <c r="O43" i="5" s="1"/>
  <c r="C29" i="4" a="1"/>
  <c r="C29" i="4" s="1"/>
  <c r="H29" i="4" s="1" a="1"/>
  <c r="H29" i="4" s="1"/>
  <c r="L9" i="3"/>
  <c r="N11" i="3"/>
  <c r="L13" i="3"/>
  <c r="N15" i="3"/>
  <c r="L17" i="3"/>
  <c r="N19" i="3"/>
  <c r="L21" i="3"/>
  <c r="N23" i="3"/>
  <c r="L25" i="3"/>
  <c r="P25" i="3"/>
  <c r="N27" i="3"/>
  <c r="L29" i="3"/>
  <c r="C5" i="4" a="1"/>
  <c r="C5" i="4" s="1"/>
  <c r="C6" i="4" a="1"/>
  <c r="C6" i="4" s="1"/>
  <c r="H6" i="4" s="1" a="1"/>
  <c r="H6" i="4" s="1"/>
  <c r="C7" i="4" a="1"/>
  <c r="C7" i="4" s="1"/>
  <c r="H7" i="4" s="1" a="1"/>
  <c r="H7" i="4" s="1"/>
  <c r="C9" i="4" a="1"/>
  <c r="C9" i="4" s="1"/>
  <c r="H9" i="4" s="1" a="1"/>
  <c r="H9" i="4" s="1"/>
  <c r="C10" i="4" a="1"/>
  <c r="C10" i="4" s="1"/>
  <c r="H10" i="4" s="1" a="1"/>
  <c r="H10" i="4" s="1"/>
  <c r="C11" i="4" a="1"/>
  <c r="C11" i="4" s="1"/>
  <c r="H11" i="4" s="1" a="1"/>
  <c r="H11" i="4" s="1"/>
  <c r="C12" i="4" a="1"/>
  <c r="C12" i="4" s="1"/>
  <c r="H12" i="4" s="1" a="1"/>
  <c r="H12" i="4" s="1"/>
  <c r="C13" i="4" a="1"/>
  <c r="C13" i="4" s="1"/>
  <c r="H13" i="4" s="1" a="1"/>
  <c r="H13" i="4" s="1"/>
  <c r="C15" i="4" a="1"/>
  <c r="C15" i="4" s="1"/>
  <c r="H15" i="4" s="1" a="1"/>
  <c r="H15" i="4" s="1"/>
  <c r="C17" i="4" a="1"/>
  <c r="C17" i="4" s="1"/>
  <c r="H17" i="4" s="1" a="1"/>
  <c r="H17" i="4" s="1"/>
  <c r="C19" i="4" a="1"/>
  <c r="C19" i="4" s="1"/>
  <c r="H19" i="4" s="1" a="1"/>
  <c r="H19" i="4" s="1"/>
  <c r="C21" i="4" a="1"/>
  <c r="C21" i="4" s="1"/>
  <c r="H21" i="4" s="1" a="1"/>
  <c r="H21" i="4" s="1"/>
  <c r="C23" i="4" a="1"/>
  <c r="C23" i="4" s="1"/>
  <c r="H23" i="4" s="1" a="1"/>
  <c r="H23" i="4" s="1"/>
  <c r="C25" i="4" a="1"/>
  <c r="C25" i="4" s="1"/>
  <c r="H25" i="4" s="1" a="1"/>
  <c r="H25" i="4" s="1"/>
  <c r="D62" i="5"/>
  <c r="O62" i="5" s="1"/>
  <c r="D42" i="5"/>
  <c r="O42" i="5" s="1"/>
  <c r="H7" i="6" s="1"/>
  <c r="C28" i="4" a="1"/>
  <c r="C28" i="4" s="1"/>
  <c r="H28" i="4" s="1" a="1"/>
  <c r="H28" i="4" s="1"/>
  <c r="L8" i="3"/>
  <c r="L12" i="3"/>
  <c r="L20" i="3"/>
  <c r="L6" i="3"/>
  <c r="O7" i="3"/>
  <c r="N8" i="3"/>
  <c r="L10" i="3"/>
  <c r="O11" i="3"/>
  <c r="N12" i="3"/>
  <c r="L14" i="3"/>
  <c r="O15" i="3"/>
  <c r="N16" i="3"/>
  <c r="L18" i="3"/>
  <c r="O19" i="3"/>
  <c r="N20" i="3"/>
  <c r="L22" i="3"/>
  <c r="O23" i="3"/>
  <c r="N24" i="3"/>
  <c r="L26" i="3"/>
  <c r="O27" i="3"/>
  <c r="N28" i="3"/>
  <c r="L24" i="3"/>
  <c r="L7" i="3"/>
  <c r="L11" i="3"/>
  <c r="L15" i="3"/>
  <c r="L19" i="3"/>
  <c r="L23" i="3"/>
  <c r="L27" i="3"/>
  <c r="O28" i="3"/>
  <c r="N29" i="3"/>
  <c r="C14" i="4" a="1"/>
  <c r="C14" i="4" s="1"/>
  <c r="H14" i="4" s="1" a="1"/>
  <c r="H14" i="4" s="1"/>
  <c r="C16" i="4" a="1"/>
  <c r="C16" i="4" s="1"/>
  <c r="H16" i="4" s="1" a="1"/>
  <c r="H16" i="4" s="1"/>
  <c r="C18" i="4" a="1"/>
  <c r="C18" i="4" s="1"/>
  <c r="H18" i="4" s="1" a="1"/>
  <c r="H18" i="4" s="1"/>
  <c r="C20" i="4" a="1"/>
  <c r="C20" i="4" s="1"/>
  <c r="H20" i="4" s="1" a="1"/>
  <c r="H20" i="4" s="1"/>
  <c r="C22" i="4" a="1"/>
  <c r="C22" i="4" s="1"/>
  <c r="H22" i="4" s="1" a="1"/>
  <c r="H22" i="4" s="1"/>
  <c r="C24" i="4" a="1"/>
  <c r="C24" i="4" s="1"/>
  <c r="H24" i="4" s="1" a="1"/>
  <c r="H24" i="4" s="1"/>
  <c r="C26" i="4" a="1"/>
  <c r="C26" i="4" s="1"/>
  <c r="H26" i="4" s="1" a="1"/>
  <c r="H26" i="4" s="1"/>
  <c r="C27" i="4" a="1"/>
  <c r="C27" i="4" s="1"/>
  <c r="H27" i="4" s="1" a="1"/>
  <c r="H27" i="4" s="1"/>
  <c r="I64" i="5"/>
  <c r="B7" i="6" l="1"/>
  <c r="H9" i="6"/>
  <c r="E8" i="6"/>
  <c r="E7" i="6"/>
  <c r="H8" i="6"/>
  <c r="H12" i="6"/>
  <c r="H13" i="6"/>
  <c r="H14" i="6"/>
  <c r="N6" i="6"/>
  <c r="E11" i="6"/>
  <c r="H11" i="6"/>
  <c r="E9" i="6"/>
  <c r="N5" i="6"/>
  <c r="H10" i="6"/>
  <c r="K61" i="5"/>
  <c r="I27" i="4"/>
  <c r="K43" i="5"/>
  <c r="I9" i="4"/>
  <c r="E6" i="6"/>
  <c r="K54" i="5"/>
  <c r="I20" i="4"/>
  <c r="E5" i="6"/>
  <c r="K53" i="5"/>
  <c r="I19" i="4"/>
  <c r="K46" i="5"/>
  <c r="I12" i="4"/>
  <c r="K41" i="5"/>
  <c r="I7" i="4"/>
  <c r="E10" i="6"/>
  <c r="K48" i="5"/>
  <c r="I14" i="4"/>
  <c r="B6" i="6"/>
  <c r="K55" i="5"/>
  <c r="I21" i="4"/>
  <c r="K60" i="5"/>
  <c r="I26" i="4"/>
  <c r="K52" i="5"/>
  <c r="I18" i="4"/>
  <c r="B18" i="6"/>
  <c r="D6" i="5" s="1"/>
  <c r="A18" i="6"/>
  <c r="B5" i="6"/>
  <c r="K62" i="5"/>
  <c r="I28" i="4"/>
  <c r="K59" i="5"/>
  <c r="I25" i="4"/>
  <c r="K51" i="5"/>
  <c r="I17" i="4"/>
  <c r="K45" i="5"/>
  <c r="I11" i="4"/>
  <c r="K40" i="5"/>
  <c r="I6" i="4"/>
  <c r="I29" i="4"/>
  <c r="K63" i="5"/>
  <c r="E12" i="6"/>
  <c r="E13" i="6"/>
  <c r="N7" i="6"/>
  <c r="L42" i="5"/>
  <c r="J8" i="4"/>
  <c r="K56" i="5"/>
  <c r="I22" i="4"/>
  <c r="K47" i="5"/>
  <c r="I13" i="4"/>
  <c r="K58" i="5"/>
  <c r="I24" i="4"/>
  <c r="I16" i="4"/>
  <c r="K50" i="5"/>
  <c r="K57" i="5"/>
  <c r="I23" i="4"/>
  <c r="I15" i="4"/>
  <c r="K49" i="5"/>
  <c r="K44" i="5"/>
  <c r="I10" i="4"/>
  <c r="C35" i="4" a="1"/>
  <c r="C35" i="4" s="1"/>
  <c r="C34" i="4" a="1"/>
  <c r="C34" i="4" s="1"/>
  <c r="H5" i="4" a="1"/>
  <c r="H5" i="4" s="1"/>
  <c r="C36" i="4" a="1"/>
  <c r="C36" i="4" s="1"/>
  <c r="E14" i="6"/>
  <c r="L57" i="5" l="1"/>
  <c r="J23" i="4"/>
  <c r="L58" i="5"/>
  <c r="J24" i="4"/>
  <c r="L56" i="5"/>
  <c r="J22" i="4"/>
  <c r="L60" i="5"/>
  <c r="J26" i="4"/>
  <c r="L46" i="5"/>
  <c r="J12" i="4"/>
  <c r="K39" i="5"/>
  <c r="I5" i="4"/>
  <c r="L45" i="5"/>
  <c r="J11" i="4"/>
  <c r="L59" i="5"/>
  <c r="J25" i="4"/>
  <c r="L48" i="5"/>
  <c r="J14" i="4"/>
  <c r="L54" i="5"/>
  <c r="J20" i="4"/>
  <c r="L44" i="5"/>
  <c r="J10" i="4"/>
  <c r="L43" i="5"/>
  <c r="J9" i="4"/>
  <c r="L47" i="5"/>
  <c r="J13" i="4"/>
  <c r="M42" i="5"/>
  <c r="K8" i="4"/>
  <c r="N42" i="5" s="1"/>
  <c r="L63" i="5"/>
  <c r="J29" i="4"/>
  <c r="B7" i="5"/>
  <c r="E18" i="6"/>
  <c r="M6" i="5" s="1"/>
  <c r="M7" i="5"/>
  <c r="B6" i="5"/>
  <c r="L52" i="5"/>
  <c r="J18" i="4"/>
  <c r="L55" i="5"/>
  <c r="J21" i="4"/>
  <c r="L41" i="5"/>
  <c r="J7" i="4"/>
  <c r="L53" i="5"/>
  <c r="J19" i="4"/>
  <c r="L61" i="5"/>
  <c r="J27" i="4"/>
  <c r="L49" i="5"/>
  <c r="J15" i="4"/>
  <c r="L50" i="5"/>
  <c r="J16" i="4"/>
  <c r="L40" i="5"/>
  <c r="J6" i="4"/>
  <c r="L51" i="5"/>
  <c r="J17" i="4"/>
  <c r="L62" i="5"/>
  <c r="J28" i="4"/>
  <c r="K17" i="4" l="1"/>
  <c r="N51" i="5" s="1"/>
  <c r="M51" i="5"/>
  <c r="M50" i="5"/>
  <c r="K16" i="4"/>
  <c r="N50" i="5" s="1"/>
  <c r="K27" i="4"/>
  <c r="N61" i="5" s="1"/>
  <c r="M61" i="5"/>
  <c r="K18" i="4"/>
  <c r="N52" i="5" s="1"/>
  <c r="M52" i="5"/>
  <c r="K7" i="6"/>
  <c r="M43" i="5"/>
  <c r="K9" i="4"/>
  <c r="N43" i="5" s="1"/>
  <c r="K20" i="4"/>
  <c r="N54" i="5" s="1"/>
  <c r="M54" i="5"/>
  <c r="K25" i="4"/>
  <c r="N59" i="5" s="1"/>
  <c r="M59" i="5"/>
  <c r="L39" i="5"/>
  <c r="L64" i="5" s="1"/>
  <c r="J5" i="4"/>
  <c r="K26" i="4"/>
  <c r="N60" i="5" s="1"/>
  <c r="M60" i="5"/>
  <c r="M58" i="5"/>
  <c r="K24" i="4"/>
  <c r="N58" i="5" s="1"/>
  <c r="K28" i="4"/>
  <c r="N62" i="5" s="1"/>
  <c r="M62" i="5"/>
  <c r="M40" i="5"/>
  <c r="K6" i="4"/>
  <c r="N40" i="5" s="1"/>
  <c r="K15" i="4"/>
  <c r="N49" i="5" s="1"/>
  <c r="M49" i="5"/>
  <c r="M53" i="5"/>
  <c r="K19" i="4"/>
  <c r="N53" i="5" s="1"/>
  <c r="M55" i="5"/>
  <c r="K21" i="4"/>
  <c r="N55" i="5" s="1"/>
  <c r="K29" i="4"/>
  <c r="N63" i="5" s="1"/>
  <c r="M63" i="5"/>
  <c r="M47" i="5"/>
  <c r="K13" i="4"/>
  <c r="N47" i="5" s="1"/>
  <c r="K8" i="6" s="1"/>
  <c r="M44" i="5"/>
  <c r="K10" i="4"/>
  <c r="N44" i="5" s="1"/>
  <c r="M48" i="5"/>
  <c r="K14" i="4"/>
  <c r="N48" i="5" s="1"/>
  <c r="K6" i="6" s="1"/>
  <c r="M45" i="5"/>
  <c r="K11" i="4"/>
  <c r="N45" i="5" s="1"/>
  <c r="K12" i="6" s="1"/>
  <c r="M46" i="5"/>
  <c r="K12" i="4"/>
  <c r="N46" i="5" s="1"/>
  <c r="M56" i="5"/>
  <c r="K22" i="4"/>
  <c r="N56" i="5" s="1"/>
  <c r="K23" i="4"/>
  <c r="N57" i="5" s="1"/>
  <c r="M57" i="5"/>
  <c r="M41" i="5"/>
  <c r="K7" i="4"/>
  <c r="N41" i="5" s="1"/>
  <c r="K11" i="6" s="1"/>
  <c r="K13" i="6" l="1"/>
  <c r="K5" i="6"/>
  <c r="K14" i="6"/>
  <c r="K10" i="6"/>
  <c r="M39" i="5"/>
  <c r="K5" i="4"/>
  <c r="N39" i="5" s="1"/>
  <c r="M64" i="5" l="1"/>
  <c r="C18" i="6"/>
  <c r="G6" i="5" s="1"/>
  <c r="N64" i="5"/>
  <c r="K9" i="6"/>
  <c r="D18" i="6"/>
  <c r="J6" i="5" s="1"/>
</calcChain>
</file>

<file path=xl/sharedStrings.xml><?xml version="1.0" encoding="utf-8"?>
<sst xmlns="http://schemas.openxmlformats.org/spreadsheetml/2006/main" count="320" uniqueCount="145">
  <si>
    <t>MASTER KODE BMN (Tabel Referensi untuk VLOOKUP)</t>
  </si>
  <si>
    <t>Kode BMN</t>
  </si>
  <si>
    <t>Uraian Barang</t>
  </si>
  <si>
    <t>Satuan</t>
  </si>
  <si>
    <t>Masa Manfaat (Th)</t>
  </si>
  <si>
    <t>3.05.01.04.001</t>
  </si>
  <si>
    <t>Lemari Besi</t>
  </si>
  <si>
    <t>Unit</t>
  </si>
  <si>
    <t>3.05.01.04.003</t>
  </si>
  <si>
    <t>Lemari Kayu</t>
  </si>
  <si>
    <t>3.05.02.01.001</t>
  </si>
  <si>
    <t>Meja Kerja Kayu</t>
  </si>
  <si>
    <t>Buah</t>
  </si>
  <si>
    <t>3.05.02.01.004</t>
  </si>
  <si>
    <t>Kursi Kerja</t>
  </si>
  <si>
    <t>3.05.02.03.002</t>
  </si>
  <si>
    <t>AC Split</t>
  </si>
  <si>
    <t>3.05.02.04.001</t>
  </si>
  <si>
    <t>Televisi</t>
  </si>
  <si>
    <t>3.05.02.06.008</t>
  </si>
  <si>
    <t>Personal Komputer (PC Unit)</t>
  </si>
  <si>
    <t>3.05.02.06.010</t>
  </si>
  <si>
    <t>Printer</t>
  </si>
  <si>
    <t>3.05.02.06.012</t>
  </si>
  <si>
    <t>Laptop</t>
  </si>
  <si>
    <t>3.06.01.01.002</t>
  </si>
  <si>
    <t>Kendaraan Bermotor Roda Dua</t>
  </si>
  <si>
    <t>TABEL KONDISI BARANG (Tabel Referensi untuk HLOOKUP)</t>
  </si>
  <si>
    <t>Kode Kondisi</t>
  </si>
  <si>
    <t>B</t>
  </si>
  <si>
    <t>RR</t>
  </si>
  <si>
    <t>RB</t>
  </si>
  <si>
    <t>Keterangan</t>
  </si>
  <si>
    <t>Baik</t>
  </si>
  <si>
    <t>Rusak Ringan</t>
  </si>
  <si>
    <t>Rusak Berat</t>
  </si>
  <si>
    <t>Tahun Acuan Perhitungan Umur Aset</t>
  </si>
  <si>
    <t>No</t>
  </si>
  <si>
    <t>ID Aset (Mentah)</t>
  </si>
  <si>
    <t>NUP</t>
  </si>
  <si>
    <t>Nama Barang</t>
  </si>
  <si>
    <t>Tahun Perolehan</t>
  </si>
  <si>
    <t>Kondisi</t>
  </si>
  <si>
    <t>Ket. Kondisi</t>
  </si>
  <si>
    <t>Harga Perolehan (Rp)</t>
  </si>
  <si>
    <t>Umur Aset (Th)</t>
  </si>
  <si>
    <t>Status Usia</t>
  </si>
  <si>
    <t>Kode Ringkas Aset</t>
  </si>
  <si>
    <t>ID Aset Bersih</t>
  </si>
  <si>
    <t>Kode Satker</t>
  </si>
  <si>
    <t>Tahun dari ID</t>
  </si>
  <si>
    <t>NUP dari ID</t>
  </si>
  <si>
    <t xml:space="preserve">  3201-2016-00001  </t>
  </si>
  <si>
    <t>3201-2017-	00002</t>
  </si>
  <si>
    <t>3201-2018-00003</t>
  </si>
  <si>
    <t xml:space="preserve">3201-2018-00004   </t>
  </si>
  <si>
    <t xml:space="preserve">  3201-2019-00005  </t>
  </si>
  <si>
    <t>3201-2019-00006</t>
  </si>
  <si>
    <t>3201-2020-	00007</t>
  </si>
  <si>
    <t xml:space="preserve">3201-2020-00008   </t>
  </si>
  <si>
    <t xml:space="preserve">  3201-2020-00009  </t>
  </si>
  <si>
    <t>3201-2021-00010</t>
  </si>
  <si>
    <t>3201-2021-	00011</t>
  </si>
  <si>
    <t xml:space="preserve">3201-2021-00012   </t>
  </si>
  <si>
    <t xml:space="preserve">  3201-2022-00013  </t>
  </si>
  <si>
    <t>3201-2022-00014</t>
  </si>
  <si>
    <t>3201-2022-	00015</t>
  </si>
  <si>
    <t xml:space="preserve">3201-2023-00016   </t>
  </si>
  <si>
    <t xml:space="preserve">  3201-2023-00017  </t>
  </si>
  <si>
    <t>3201-2023-00018</t>
  </si>
  <si>
    <t>3201-2023-	00019</t>
  </si>
  <si>
    <t xml:space="preserve">3201-2024-00020   </t>
  </si>
  <si>
    <t xml:space="preserve">  3201-2024-00021  </t>
  </si>
  <si>
    <t>3201-2024-00022</t>
  </si>
  <si>
    <t>3201-2024-	00023</t>
  </si>
  <si>
    <t xml:space="preserve">3201-2025-00024   </t>
  </si>
  <si>
    <t xml:space="preserve">  3201-2025-00025  </t>
  </si>
  <si>
    <t>REKAP KONDISI ASET (Isi dengan COUNTIFS &amp; SUMIFS)</t>
  </si>
  <si>
    <t>Umur Aset</t>
  </si>
  <si>
    <t>Jumlah Unit</t>
  </si>
  <si>
    <t>Total Nilai (Rp)</t>
  </si>
  <si>
    <t>Baru</t>
  </si>
  <si>
    <t>3-5</t>
  </si>
  <si>
    <t>Sedang Pakai</t>
  </si>
  <si>
    <t>6-10</t>
  </si>
  <si>
    <t>Lama</t>
  </si>
  <si>
    <t>&gt; 10</t>
  </si>
  <si>
    <t>Sangat Lama - Usulan Penghapusan</t>
  </si>
  <si>
    <t>Total</t>
  </si>
  <si>
    <t>ANALISIS MULTI-KRITERIA (Isi dengan SUMIFS/COUNTIFS 2 kriteria)</t>
  </si>
  <si>
    <t>Jumlah aset kondisi Rusak Berat (RB) yang diperoleh sebelum tahun 2020:</t>
  </si>
  <si>
    <t>Total nilai aset kondisi Baik (B) yang diperoleh tahun 2024 (Rp):</t>
  </si>
  <si>
    <t>Sum of Harga Perolehan (Rp)</t>
  </si>
  <si>
    <t>Total Result</t>
  </si>
  <si>
    <t xml:space="preserve">PENYUSUTAN ASET (METODE GARIS LURUS / SLN) </t>
  </si>
  <si>
    <t>Penyusutan per Tahun (Rp)</t>
  </si>
  <si>
    <t>Akumulasi Penyusutan (Rp)</t>
  </si>
  <si>
    <t>Nilai Buku (Rp)</t>
  </si>
  <si>
    <t>PANEL PENCARIAN ASET (INDEX &amp; MATCH) — Isi dengan INDEX+MATCH</t>
  </si>
  <si>
    <t>Nama Barang:</t>
  </si>
  <si>
    <t>Harga Perolehan</t>
  </si>
  <si>
    <t>Sistem Pengelolaan &amp; Penyusutan Barang Milik Negara • Tahun Acuan 2026 • Asisten Pengelola BMN</t>
  </si>
  <si>
    <t>TOTAL ASET</t>
  </si>
  <si>
    <t>TOTAL NILAI PEROLEHAN</t>
  </si>
  <si>
    <t>TOTAL AKUMULASI PENYUSUTAN</t>
  </si>
  <si>
    <t>TOTAL NILAI BUKU</t>
  </si>
  <si>
    <t>ASET KONDISI BAIK</t>
  </si>
  <si>
    <t>Nilai Pembelian Aset BMN</t>
  </si>
  <si>
    <t>Penyusutan Garis Lurus (SLN)</t>
  </si>
  <si>
    <t>Sisa Nilai Buku Aset 2026</t>
  </si>
  <si>
    <t>NAMA BARANG</t>
  </si>
  <si>
    <t>TAHUN PEROLEHAN</t>
  </si>
  <si>
    <t>KONDISI</t>
  </si>
  <si>
    <t>STATUS USIA</t>
  </si>
  <si>
    <t>(Semua)</t>
  </si>
  <si>
    <t>TABEL INVENTARIS &amp; RINCIAN PENYUSUTAN ASET BMN</t>
  </si>
  <si>
    <t>Penyusutan / Th (Rp)</t>
  </si>
  <si>
    <t>Baris Aktif</t>
  </si>
  <si>
    <t>TOTAL KESELURUHAN</t>
  </si>
  <si>
    <t>RINGKASAN DATA UNTUK DASHBOARD BMN</t>
  </si>
  <si>
    <t>RINGKASAN PER NAMA BARANG</t>
  </si>
  <si>
    <t>RINGKASAN TREN TAHUN PEROLEHAN</t>
  </si>
  <si>
    <t>NILAI BUKU PER BARANG</t>
  </si>
  <si>
    <t>STATUS USIA ASET</t>
  </si>
  <si>
    <t>Tabel Kondisi Aset</t>
  </si>
  <si>
    <t>Tabel Sebaran Unit Barang</t>
  </si>
  <si>
    <t>Tabel Nilai Perolehan per Tahun</t>
  </si>
  <si>
    <t>Tabel Nilai Buku per Barang</t>
  </si>
  <si>
    <t>Tabel Status Usia</t>
  </si>
  <si>
    <t>Nilai Perolehan (Rp)</t>
  </si>
  <si>
    <t>Daftar Dropdown: Nama Barang</t>
  </si>
  <si>
    <t>Daftar Dropdown: Tahun Perolehan</t>
  </si>
  <si>
    <t>Daftar Dropdown: Kondisi</t>
  </si>
  <si>
    <t>Daftar Dropdown: Status Usia</t>
  </si>
  <si>
    <t>,</t>
  </si>
  <si>
    <t>],[</t>
  </si>
  <si>
    <t>METRIK UTAMA (KPI FEED)</t>
  </si>
  <si>
    <t>Total Aset (Unit)</t>
  </si>
  <si>
    <t>Total Nilai Perolehan (Rp)</t>
  </si>
  <si>
    <t>Total Akumulasi Penyusutan (Rp)</t>
  </si>
  <si>
    <t>Total Nilai Buku (Rp)</t>
  </si>
  <si>
    <t>Persentase Aset Baik</t>
  </si>
  <si>
    <t>DASHBOARD MONITORING ASET BMN</t>
  </si>
  <si>
    <t>FILTER DATA</t>
  </si>
  <si>
    <t>DATASET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</si>
</sst>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_);_(* \(#,##0\);_(* \-??_);_(@_)"/>
    <numFmt numFmtId="165" formatCode="#,##0&quot; Unit&quot;"/>
    <numFmt numFmtId="166" formatCode="&quot;Rp&quot;#,##0"/>
    <numFmt numFmtId="167" formatCode="0.0%"/>
    <numFmt numFmtId="170" formatCode="&quot;Rp&quot;#,##0_);[Red]\(&quot;Rp&quot;#,##0\)"/>
  </numFmts>
  <fonts count="34">
    <font>
      <sz val="11"/>
      <color theme="1"/>
      <name val="Calibri"/>
      <charset val="1"/>
    </font>
    <font>
      <b/>
      <sz val="11"/>
      <color theme="1"/>
      <name val="Calibri"/>
      <charset val="1"/>
    </font>
    <font>
      <b/>
      <sz val="14"/>
      <color rgb="FFFFFFFF"/>
      <name val="Arial"/>
      <charset val="1"/>
    </font>
    <font>
      <b/>
      <sz val="11"/>
      <color rgb="FFFFFFFF"/>
      <name val="Arial"/>
      <charset val="1"/>
    </font>
    <font>
      <b/>
      <sz val="10"/>
      <color theme="1"/>
      <name val="Arial"/>
      <charset val="1"/>
    </font>
    <font>
      <sz val="10"/>
      <color theme="1"/>
      <name val="Arial"/>
      <charset val="1"/>
    </font>
    <font>
      <b/>
      <sz val="10"/>
      <color rgb="FFFFFFFF"/>
      <name val="Arial"/>
      <charset val="1"/>
    </font>
    <font>
      <sz val="10"/>
      <color rgb="FF0000FF"/>
      <name val="Arial"/>
      <charset val="1"/>
    </font>
    <font>
      <sz val="11"/>
      <color theme="1"/>
      <name val="Arial"/>
      <charset val="1"/>
    </font>
    <font>
      <i/>
      <sz val="8"/>
      <color theme="1"/>
      <name val="Arial"/>
      <charset val="1"/>
    </font>
    <font>
      <b/>
      <sz val="16"/>
      <color rgb="FFFFFFFF"/>
      <name val="Roboto"/>
      <charset val="1"/>
    </font>
    <font>
      <sz val="10"/>
      <color rgb="FFD0E0FC"/>
      <name val="Roboto"/>
      <charset val="1"/>
    </font>
    <font>
      <b/>
      <sz val="9"/>
      <color rgb="FF465469"/>
      <name val="Roboto"/>
      <charset val="1"/>
    </font>
    <font>
      <b/>
      <sz val="9"/>
      <color rgb="FF0369A0"/>
      <name val="Roboto"/>
      <charset val="1"/>
    </font>
    <font>
      <b/>
      <sz val="9"/>
      <color rgb="FFB45208"/>
      <name val="Roboto"/>
      <charset val="1"/>
    </font>
    <font>
      <b/>
      <sz val="9"/>
      <color rgb="FF047856"/>
      <name val="Roboto"/>
      <charset val="1"/>
    </font>
    <font>
      <b/>
      <sz val="9"/>
      <color rgb="FF0F766D"/>
      <name val="Roboto"/>
      <charset val="1"/>
    </font>
    <font>
      <b/>
      <sz val="20"/>
      <color rgb="FF1B365D"/>
      <name val="Roboto"/>
      <charset val="1"/>
    </font>
    <font>
      <b/>
      <sz val="17"/>
      <color rgb="FF0284C6"/>
      <name val="Roboto"/>
      <charset val="1"/>
    </font>
    <font>
      <b/>
      <sz val="17"/>
      <color rgb="FFD97706"/>
      <name val="Roboto"/>
      <charset val="1"/>
    </font>
    <font>
      <b/>
      <sz val="17"/>
      <color rgb="FF059569"/>
      <name val="Roboto"/>
      <charset val="1"/>
    </font>
    <font>
      <b/>
      <sz val="20"/>
      <color rgb="FF0D9387"/>
      <name val="Roboto"/>
      <charset val="1"/>
    </font>
    <font>
      <i/>
      <sz val="8"/>
      <color rgb="FF63748A"/>
      <name val="Roboto"/>
      <charset val="1"/>
    </font>
    <font>
      <b/>
      <sz val="10"/>
      <color rgb="FFFFFFFF"/>
      <name val="Roboto"/>
      <charset val="1"/>
    </font>
    <font>
      <b/>
      <sz val="8"/>
      <color rgb="FF465469"/>
      <name val="Roboto"/>
      <charset val="1"/>
    </font>
    <font>
      <b/>
      <sz val="11"/>
      <color rgb="FF1B365D"/>
      <name val="Roboto"/>
      <charset val="1"/>
    </font>
    <font>
      <b/>
      <sz val="11"/>
      <color rgb="FFFFFFFF"/>
      <name val="Roboto"/>
      <charset val="1"/>
    </font>
    <font>
      <b/>
      <sz val="9"/>
      <color rgb="FFFFFFFF"/>
      <name val="Roboto"/>
      <charset val="1"/>
    </font>
    <font>
      <sz val="9"/>
      <color rgb="FF1A1B1F"/>
      <name val="Roboto"/>
      <charset val="1"/>
    </font>
    <font>
      <sz val="9"/>
      <color rgb="FF999999"/>
      <name val="Roboto"/>
      <charset val="1"/>
    </font>
    <font>
      <b/>
      <sz val="9"/>
      <color rgb="FF1B365D"/>
      <name val="Roboto"/>
      <charset val="1"/>
    </font>
    <font>
      <sz val="9"/>
      <name val="Roboto"/>
      <charset val="1"/>
    </font>
    <font>
      <sz val="11"/>
      <color theme="1"/>
      <name val="Calibri"/>
      <charset val="1"/>
    </font>
    <font>
      <b/>
      <sz val="14"/>
      <color rgb="FFFFFFFF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1F4E78"/>
        <bgColor rgb="FF2D4578"/>
      </patternFill>
    </fill>
    <fill>
      <patternFill patternType="solid">
        <fgColor rgb="FF548235"/>
        <bgColor rgb="FF63748A"/>
      </patternFill>
    </fill>
    <fill>
      <patternFill patternType="solid">
        <fgColor rgb="FF2E75B6"/>
        <bgColor rgb="FF4F81BD"/>
      </patternFill>
    </fill>
    <fill>
      <patternFill patternType="solid">
        <fgColor rgb="FFF2F2F2"/>
        <bgColor rgb="FFEFF4F9"/>
      </patternFill>
    </fill>
    <fill>
      <patternFill patternType="solid">
        <fgColor rgb="FFFFF2CC"/>
        <bgColor rgb="FFFFFAEB"/>
      </patternFill>
    </fill>
    <fill>
      <patternFill patternType="solid">
        <fgColor rgb="FF1B365D"/>
        <bgColor rgb="FF2D4578"/>
      </patternFill>
    </fill>
    <fill>
      <patternFill patternType="solid">
        <fgColor rgb="FFEFF4F9"/>
        <bgColor rgb="FFEEF6FF"/>
      </patternFill>
    </fill>
    <fill>
      <patternFill patternType="solid">
        <fgColor rgb="FFEEF6FF"/>
        <bgColor rgb="FFEFF4F9"/>
      </patternFill>
    </fill>
    <fill>
      <patternFill patternType="solid">
        <fgColor rgb="FFFFFAEB"/>
        <bgColor rgb="FFF6F8FB"/>
      </patternFill>
    </fill>
    <fill>
      <patternFill patternType="solid">
        <fgColor rgb="FFEBFCF5"/>
        <bgColor rgb="FFEFFCF9"/>
      </patternFill>
    </fill>
    <fill>
      <patternFill patternType="solid">
        <fgColor rgb="FFEFFCF9"/>
        <bgColor rgb="FFEBFCF5"/>
      </patternFill>
    </fill>
    <fill>
      <patternFill patternType="solid">
        <fgColor rgb="FFFFFFFF"/>
        <bgColor rgb="FFF6F8FB"/>
      </patternFill>
    </fill>
    <fill>
      <patternFill patternType="solid">
        <fgColor rgb="FF2D4578"/>
        <bgColor rgb="FF1F4E78"/>
      </patternFill>
    </fill>
    <fill>
      <patternFill patternType="solid">
        <fgColor rgb="FFF6F8FB"/>
        <bgColor rgb="FFEEF6FF"/>
      </patternFill>
    </fill>
    <fill>
      <patternFill patternType="solid">
        <fgColor rgb="FFE9EEF6"/>
        <bgColor rgb="FFEFF4F9"/>
      </patternFill>
    </fill>
  </fills>
  <borders count="40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CAD4E0"/>
      </left>
      <right style="thin">
        <color rgb="FFCAD4E0"/>
      </right>
      <top style="thin">
        <color rgb="FFCAD4E0"/>
      </top>
      <bottom/>
      <diagonal/>
    </border>
    <border>
      <left style="thin">
        <color rgb="FFCAD4E0"/>
      </left>
      <right style="thin">
        <color rgb="FFCAD4E0"/>
      </right>
      <top/>
      <bottom/>
      <diagonal/>
    </border>
    <border>
      <left style="thin">
        <color rgb="FFCAD4E0"/>
      </left>
      <right style="thin">
        <color rgb="FFCAD4E0"/>
      </right>
      <top/>
      <bottom style="thin">
        <color rgb="FFCAD4E0"/>
      </bottom>
      <diagonal/>
    </border>
    <border>
      <left style="thin">
        <color rgb="FFCAD4E0"/>
      </left>
      <right style="thin">
        <color rgb="FFCAD4E0"/>
      </right>
      <top style="thin">
        <color rgb="FFCAD4E0"/>
      </top>
      <bottom style="thin">
        <color rgb="FFCAD4E0"/>
      </bottom>
      <diagonal/>
    </border>
    <border>
      <left style="thin">
        <color rgb="FFCAD4E0"/>
      </left>
      <right style="thin">
        <color rgb="FFE1E8EF"/>
      </right>
      <top style="thin">
        <color rgb="FFCAD4E0"/>
      </top>
      <bottom style="thin">
        <color rgb="FFE1E8EF"/>
      </bottom>
      <diagonal/>
    </border>
    <border>
      <left style="thin">
        <color rgb="FFE1E8EF"/>
      </left>
      <right style="thin">
        <color rgb="FFE1E8EF"/>
      </right>
      <top style="thin">
        <color rgb="FFCAD4E0"/>
      </top>
      <bottom style="thin">
        <color rgb="FFE1E8EF"/>
      </bottom>
      <diagonal/>
    </border>
    <border>
      <left style="thin">
        <color rgb="FFE1E8EF"/>
      </left>
      <right style="thin">
        <color rgb="FFCAD4E0"/>
      </right>
      <top style="thin">
        <color rgb="FFCAD4E0"/>
      </top>
      <bottom style="thin">
        <color rgb="FFE1E8EF"/>
      </bottom>
      <diagonal/>
    </border>
    <border>
      <left style="thin">
        <color rgb="FFCAD4E0"/>
      </left>
      <right style="thin">
        <color rgb="FFE1E8EF"/>
      </right>
      <top style="thin">
        <color rgb="FFE1E8EF"/>
      </top>
      <bottom style="thin">
        <color rgb="FFE1E8EF"/>
      </bottom>
      <diagonal/>
    </border>
    <border>
      <left style="thin">
        <color rgb="FFE1E8EF"/>
      </left>
      <right style="thin">
        <color rgb="FFE1E8EF"/>
      </right>
      <top style="thin">
        <color rgb="FFE1E8EF"/>
      </top>
      <bottom style="thin">
        <color rgb="FFE1E8EF"/>
      </bottom>
      <diagonal/>
    </border>
    <border>
      <left style="thin">
        <color rgb="FFE1E8EF"/>
      </left>
      <right style="thin">
        <color rgb="FFCAD4E0"/>
      </right>
      <top style="thin">
        <color rgb="FFE1E8EF"/>
      </top>
      <bottom style="thin">
        <color rgb="FFE1E8EF"/>
      </bottom>
      <diagonal/>
    </border>
    <border>
      <left style="thin">
        <color rgb="FFCAD4E0"/>
      </left>
      <right style="thin">
        <color rgb="FFE1E8EF"/>
      </right>
      <top style="thin">
        <color rgb="FFE1E8EF"/>
      </top>
      <bottom style="double">
        <color rgb="FF1B365D"/>
      </bottom>
      <diagonal/>
    </border>
    <border>
      <left style="thin">
        <color rgb="FFE1E8EF"/>
      </left>
      <right style="thin">
        <color rgb="FFE1E8EF"/>
      </right>
      <top style="thin">
        <color rgb="FFE1E8EF"/>
      </top>
      <bottom style="double">
        <color rgb="FF1B365D"/>
      </bottom>
      <diagonal/>
    </border>
    <border>
      <left style="thin">
        <color rgb="FFE1E8EF"/>
      </left>
      <right style="thin">
        <color rgb="FFCAD4E0"/>
      </right>
      <top style="thin">
        <color rgb="FFE1E8EF"/>
      </top>
      <bottom style="double">
        <color rgb="FF1B365D"/>
      </bottom>
      <diagonal/>
    </border>
  </borders>
  <cellStyleXfs count="7">
    <xf numFmtId="0" fontId="0" fillId="0" borderId="0"/>
    <xf numFmtId="0" fontId="32" fillId="0" borderId="0">
      <alignment horizontal="left"/>
    </xf>
    <xf numFmtId="0" fontId="32" fillId="0" borderId="0"/>
    <xf numFmtId="0" fontId="32" fillId="0" borderId="0"/>
    <xf numFmtId="0" fontId="1" fillId="0" borderId="0"/>
    <xf numFmtId="0" fontId="1" fillId="0" borderId="0">
      <alignment horizontal="left"/>
    </xf>
    <xf numFmtId="0" fontId="32" fillId="0" borderId="0"/>
  </cellStyleXfs>
  <cellXfs count="113">
    <xf numFmtId="0" fontId="0" fillId="0" borderId="0" xfId="0"/>
    <xf numFmtId="0" fontId="0" fillId="0" borderId="0" xfId="0" applyAlignment="1"/>
    <xf numFmtId="0" fontId="6" fillId="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/>
    <xf numFmtId="0" fontId="5" fillId="5" borderId="2" xfId="0" applyFont="1" applyFill="1" applyBorder="1" applyAlignment="1">
      <alignment horizontal="center" vertical="center"/>
    </xf>
    <xf numFmtId="0" fontId="6" fillId="4" borderId="0" xfId="0" applyFont="1" applyFill="1" applyAlignment="1"/>
    <xf numFmtId="0" fontId="4" fillId="5" borderId="0" xfId="0" applyFont="1" applyFill="1" applyAlignment="1"/>
    <xf numFmtId="0" fontId="7" fillId="5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left" vertical="center"/>
    </xf>
    <xf numFmtId="0" fontId="8" fillId="6" borderId="2" xfId="0" applyFont="1" applyFill="1" applyBorder="1" applyAlignment="1">
      <alignment horizontal="left" vertical="center"/>
    </xf>
    <xf numFmtId="3" fontId="5" fillId="5" borderId="2" xfId="0" applyNumberFormat="1" applyFont="1" applyFill="1" applyBorder="1" applyAlignment="1">
      <alignment horizontal="right" vertical="center"/>
    </xf>
    <xf numFmtId="0" fontId="8" fillId="5" borderId="2" xfId="0" applyFont="1" applyFill="1" applyBorder="1" applyAlignment="1">
      <alignment horizontal="center" vertical="center"/>
    </xf>
    <xf numFmtId="0" fontId="0" fillId="6" borderId="2" xfId="0" applyFill="1" applyBorder="1" applyAlignment="1">
      <alignment horizontal="right"/>
    </xf>
    <xf numFmtId="0" fontId="0" fillId="6" borderId="2" xfId="0" applyFont="1" applyFill="1" applyBorder="1" applyAlignment="1"/>
    <xf numFmtId="0" fontId="0" fillId="5" borderId="2" xfId="0" applyFont="1" applyFill="1" applyBorder="1" applyAlignment="1">
      <alignment horizontal="center" vertical="center"/>
    </xf>
    <xf numFmtId="164" fontId="5" fillId="0" borderId="2" xfId="0" applyNumberFormat="1" applyFont="1" applyBorder="1" applyAlignment="1"/>
    <xf numFmtId="0" fontId="0" fillId="6" borderId="2" xfId="0" applyFont="1" applyFill="1" applyBorder="1" applyAlignment="1">
      <alignment horizontal="right" vertical="top"/>
    </xf>
    <xf numFmtId="0" fontId="0" fillId="6" borderId="2" xfId="0" applyFont="1" applyFill="1" applyBorder="1" applyAlignment="1">
      <alignment vertical="top"/>
    </xf>
    <xf numFmtId="0" fontId="4" fillId="5" borderId="2" xfId="0" applyFont="1" applyFill="1" applyBorder="1" applyAlignment="1">
      <alignment horizontal="center"/>
    </xf>
    <xf numFmtId="0" fontId="1" fillId="6" borderId="2" xfId="0" applyFont="1" applyFill="1" applyBorder="1" applyAlignment="1"/>
    <xf numFmtId="164" fontId="4" fillId="0" borderId="2" xfId="0" applyNumberFormat="1" applyFont="1" applyBorder="1" applyAlignment="1"/>
    <xf numFmtId="0" fontId="0" fillId="0" borderId="3" xfId="2" applyFont="1" applyBorder="1"/>
    <xf numFmtId="0" fontId="0" fillId="0" borderId="4" xfId="3" applyFont="1" applyBorder="1"/>
    <xf numFmtId="0" fontId="32" fillId="0" borderId="5" xfId="2" applyBorder="1"/>
    <xf numFmtId="0" fontId="32" fillId="0" borderId="6" xfId="2" applyBorder="1"/>
    <xf numFmtId="0" fontId="0" fillId="0" borderId="7" xfId="3" applyFont="1" applyBorder="1"/>
    <xf numFmtId="0" fontId="0" fillId="0" borderId="8" xfId="1" applyFont="1" applyBorder="1">
      <alignment horizontal="left"/>
    </xf>
    <xf numFmtId="0" fontId="0" fillId="0" borderId="9" xfId="1" applyFont="1" applyBorder="1">
      <alignment horizontal="left"/>
    </xf>
    <xf numFmtId="0" fontId="1" fillId="0" borderId="10" xfId="5" applyFont="1" applyBorder="1">
      <alignment horizontal="left"/>
    </xf>
    <xf numFmtId="0" fontId="0" fillId="0" borderId="11" xfId="1" applyFont="1" applyBorder="1">
      <alignment horizontal="left"/>
    </xf>
    <xf numFmtId="3" fontId="32" fillId="0" borderId="12" xfId="6" applyNumberFormat="1" applyBorder="1"/>
    <xf numFmtId="3" fontId="32" fillId="0" borderId="13" xfId="6" applyNumberFormat="1" applyBorder="1"/>
    <xf numFmtId="0" fontId="32" fillId="0" borderId="14" xfId="6" applyBorder="1"/>
    <xf numFmtId="3" fontId="1" fillId="0" borderId="15" xfId="4" applyNumberFormat="1" applyBorder="1"/>
    <xf numFmtId="0" fontId="0" fillId="0" borderId="16" xfId="1" applyFont="1" applyBorder="1">
      <alignment horizontal="left"/>
    </xf>
    <xf numFmtId="0" fontId="32" fillId="0" borderId="17" xfId="6" applyBorder="1"/>
    <xf numFmtId="3" fontId="32" fillId="0" borderId="0" xfId="6" applyNumberFormat="1"/>
    <xf numFmtId="0" fontId="32" fillId="0" borderId="18" xfId="6" applyBorder="1"/>
    <xf numFmtId="3" fontId="1" fillId="0" borderId="19" xfId="4" applyNumberFormat="1" applyBorder="1"/>
    <xf numFmtId="3" fontId="32" fillId="0" borderId="17" xfId="6" applyNumberFormat="1" applyBorder="1"/>
    <xf numFmtId="0" fontId="32" fillId="0" borderId="0" xfId="6"/>
    <xf numFmtId="3" fontId="32" fillId="0" borderId="18" xfId="6" applyNumberFormat="1" applyBorder="1"/>
    <xf numFmtId="3" fontId="32" fillId="0" borderId="8" xfId="6" applyNumberFormat="1" applyBorder="1"/>
    <xf numFmtId="0" fontId="32" fillId="0" borderId="9" xfId="6" applyBorder="1"/>
    <xf numFmtId="0" fontId="32" fillId="0" borderId="20" xfId="6" applyBorder="1"/>
    <xf numFmtId="3" fontId="1" fillId="0" borderId="21" xfId="4" applyNumberFormat="1" applyBorder="1"/>
    <xf numFmtId="0" fontId="1" fillId="0" borderId="22" xfId="5" applyFont="1" applyBorder="1">
      <alignment horizontal="left"/>
    </xf>
    <xf numFmtId="3" fontId="1" fillId="0" borderId="23" xfId="4" applyNumberFormat="1" applyBorder="1"/>
    <xf numFmtId="3" fontId="1" fillId="0" borderId="24" xfId="4" applyNumberFormat="1" applyBorder="1"/>
    <xf numFmtId="3" fontId="1" fillId="0" borderId="25" xfId="4" applyNumberFormat="1" applyBorder="1"/>
    <xf numFmtId="3" fontId="1" fillId="0" borderId="26" xfId="4" applyNumberFormat="1" applyBorder="1"/>
    <xf numFmtId="3" fontId="5" fillId="5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3" fontId="5" fillId="6" borderId="2" xfId="0" applyNumberFormat="1" applyFont="1" applyFill="1" applyBorder="1" applyAlignment="1">
      <alignment horizontal="right" vertical="center"/>
    </xf>
    <xf numFmtId="0" fontId="7" fillId="5" borderId="2" xfId="0" applyFont="1" applyFill="1" applyBorder="1" applyAlignment="1"/>
    <xf numFmtId="0" fontId="0" fillId="6" borderId="2" xfId="0" applyFill="1" applyBorder="1" applyAlignment="1">
      <alignment horizontal="right" vertical="center"/>
    </xf>
    <xf numFmtId="0" fontId="27" fillId="14" borderId="31" xfId="0" applyFont="1" applyFill="1" applyBorder="1" applyAlignment="1">
      <alignment horizontal="center" vertical="center" wrapText="1"/>
    </xf>
    <xf numFmtId="0" fontId="27" fillId="14" borderId="32" xfId="0" applyFont="1" applyFill="1" applyBorder="1" applyAlignment="1">
      <alignment horizontal="center" vertical="center" wrapText="1"/>
    </xf>
    <xf numFmtId="0" fontId="27" fillId="14" borderId="33" xfId="0" applyFont="1" applyFill="1" applyBorder="1" applyAlignment="1">
      <alignment horizontal="center" vertical="center" wrapText="1"/>
    </xf>
    <xf numFmtId="0" fontId="27" fillId="14" borderId="0" xfId="0" applyFont="1" applyFill="1" applyAlignment="1">
      <alignment horizontal="center" vertical="center"/>
    </xf>
    <xf numFmtId="0" fontId="28" fillId="13" borderId="34" xfId="0" applyFont="1" applyFill="1" applyBorder="1" applyAlignment="1">
      <alignment horizontal="center" vertical="center"/>
    </xf>
    <xf numFmtId="0" fontId="28" fillId="13" borderId="35" xfId="0" applyFont="1" applyFill="1" applyBorder="1" applyAlignment="1">
      <alignment horizontal="center" vertical="center"/>
    </xf>
    <xf numFmtId="0" fontId="28" fillId="13" borderId="35" xfId="0" applyFont="1" applyFill="1" applyBorder="1" applyAlignment="1">
      <alignment horizontal="left" vertical="center"/>
    </xf>
    <xf numFmtId="166" fontId="28" fillId="13" borderId="35" xfId="0" applyNumberFormat="1" applyFont="1" applyFill="1" applyBorder="1" applyAlignment="1">
      <alignment horizontal="right" vertical="center"/>
    </xf>
    <xf numFmtId="3" fontId="28" fillId="13" borderId="35" xfId="0" applyNumberFormat="1" applyFont="1" applyFill="1" applyBorder="1" applyAlignment="1">
      <alignment horizontal="center" vertical="center"/>
    </xf>
    <xf numFmtId="166" fontId="28" fillId="13" borderId="36" xfId="0" applyNumberFormat="1" applyFont="1" applyFill="1" applyBorder="1" applyAlignment="1">
      <alignment horizontal="right" vertical="center"/>
    </xf>
    <xf numFmtId="0" fontId="29" fillId="0" borderId="0" xfId="0" applyFont="1" applyAlignment="1">
      <alignment horizontal="center" vertical="center"/>
    </xf>
    <xf numFmtId="0" fontId="28" fillId="15" borderId="34" xfId="0" applyFont="1" applyFill="1" applyBorder="1" applyAlignment="1">
      <alignment horizontal="center" vertical="center"/>
    </xf>
    <xf numFmtId="0" fontId="28" fillId="15" borderId="35" xfId="0" applyFont="1" applyFill="1" applyBorder="1" applyAlignment="1">
      <alignment horizontal="center" vertical="center"/>
    </xf>
    <xf numFmtId="0" fontId="28" fillId="15" borderId="35" xfId="0" applyFont="1" applyFill="1" applyBorder="1" applyAlignment="1">
      <alignment horizontal="left" vertical="center"/>
    </xf>
    <xf numFmtId="166" fontId="28" fillId="15" borderId="35" xfId="0" applyNumberFormat="1" applyFont="1" applyFill="1" applyBorder="1" applyAlignment="1">
      <alignment horizontal="right" vertical="center"/>
    </xf>
    <xf numFmtId="3" fontId="28" fillId="15" borderId="35" xfId="0" applyNumberFormat="1" applyFont="1" applyFill="1" applyBorder="1" applyAlignment="1">
      <alignment horizontal="center" vertical="center"/>
    </xf>
    <xf numFmtId="166" fontId="28" fillId="15" borderId="36" xfId="0" applyNumberFormat="1" applyFont="1" applyFill="1" applyBorder="1" applyAlignment="1">
      <alignment horizontal="right" vertical="center"/>
    </xf>
    <xf numFmtId="166" fontId="30" fillId="16" borderId="38" xfId="0" applyNumberFormat="1" applyFont="1" applyFill="1" applyBorder="1" applyAlignment="1">
      <alignment horizontal="right" vertical="center"/>
    </xf>
    <xf numFmtId="166" fontId="30" fillId="16" borderId="39" xfId="0" applyNumberFormat="1" applyFont="1" applyFill="1" applyBorder="1" applyAlignment="1">
      <alignment horizontal="right" vertical="center"/>
    </xf>
    <xf numFmtId="0" fontId="24" fillId="0" borderId="0" xfId="0" applyFont="1" applyAlignment="1"/>
    <xf numFmtId="166" fontId="0" fillId="0" borderId="0" xfId="0" applyNumberFormat="1" applyAlignment="1"/>
    <xf numFmtId="0" fontId="31" fillId="0" borderId="0" xfId="0" applyFont="1" applyAlignment="1"/>
    <xf numFmtId="1" fontId="31" fillId="0" borderId="0" xfId="0" applyNumberFormat="1" applyFont="1" applyAlignment="1"/>
    <xf numFmtId="167" fontId="0" fillId="0" borderId="0" xfId="0" applyNumberFormat="1" applyAlignment="1"/>
    <xf numFmtId="0" fontId="3" fillId="3" borderId="0" xfId="0" applyFont="1" applyFill="1" applyBorder="1" applyAlignment="1"/>
    <xf numFmtId="0" fontId="2" fillId="2" borderId="0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5" fillId="0" borderId="0" xfId="0" applyFont="1" applyBorder="1" applyAlignment="1"/>
    <xf numFmtId="0" fontId="4" fillId="0" borderId="0" xfId="0" applyFont="1" applyBorder="1" applyAlignment="1"/>
    <xf numFmtId="0" fontId="2" fillId="2" borderId="0" xfId="0" applyFont="1" applyFill="1" applyBorder="1" applyAlignment="1"/>
    <xf numFmtId="0" fontId="9" fillId="0" borderId="0" xfId="0" applyFont="1" applyBorder="1" applyAlignment="1"/>
    <xf numFmtId="0" fontId="10" fillId="7" borderId="0" xfId="0" applyFont="1" applyFill="1" applyBorder="1" applyAlignment="1">
      <alignment horizontal="center" vertical="center"/>
    </xf>
    <xf numFmtId="0" fontId="11" fillId="7" borderId="0" xfId="0" applyFont="1" applyFill="1" applyBorder="1" applyAlignment="1">
      <alignment horizontal="center" vertical="center"/>
    </xf>
    <xf numFmtId="0" fontId="12" fillId="8" borderId="27" xfId="0" applyFont="1" applyFill="1" applyBorder="1" applyAlignment="1">
      <alignment horizontal="center"/>
    </xf>
    <xf numFmtId="0" fontId="13" fillId="9" borderId="27" xfId="0" applyFont="1" applyFill="1" applyBorder="1" applyAlignment="1">
      <alignment horizontal="center"/>
    </xf>
    <xf numFmtId="0" fontId="14" fillId="10" borderId="27" xfId="0" applyFont="1" applyFill="1" applyBorder="1" applyAlignment="1">
      <alignment horizontal="center"/>
    </xf>
    <xf numFmtId="0" fontId="15" fillId="11" borderId="27" xfId="0" applyFont="1" applyFill="1" applyBorder="1" applyAlignment="1">
      <alignment horizontal="center"/>
    </xf>
    <xf numFmtId="0" fontId="16" fillId="12" borderId="27" xfId="0" applyFont="1" applyFill="1" applyBorder="1" applyAlignment="1">
      <alignment horizontal="center"/>
    </xf>
    <xf numFmtId="165" fontId="17" fillId="8" borderId="28" xfId="0" applyNumberFormat="1" applyFont="1" applyFill="1" applyBorder="1" applyAlignment="1">
      <alignment horizontal="center" vertical="center"/>
    </xf>
    <xf numFmtId="166" fontId="18" fillId="9" borderId="28" xfId="0" applyNumberFormat="1" applyFont="1" applyFill="1" applyBorder="1" applyAlignment="1">
      <alignment horizontal="center" vertical="center"/>
    </xf>
    <xf numFmtId="166" fontId="19" fillId="10" borderId="28" xfId="0" applyNumberFormat="1" applyFont="1" applyFill="1" applyBorder="1" applyAlignment="1">
      <alignment horizontal="center" vertical="center"/>
    </xf>
    <xf numFmtId="166" fontId="20" fillId="11" borderId="28" xfId="0" applyNumberFormat="1" applyFont="1" applyFill="1" applyBorder="1" applyAlignment="1">
      <alignment horizontal="center" vertical="center"/>
    </xf>
    <xf numFmtId="167" fontId="21" fillId="12" borderId="28" xfId="0" applyNumberFormat="1" applyFont="1" applyFill="1" applyBorder="1" applyAlignment="1">
      <alignment horizontal="center" vertical="center"/>
    </xf>
    <xf numFmtId="0" fontId="22" fillId="8" borderId="29" xfId="0" applyFont="1" applyFill="1" applyBorder="1" applyAlignment="1">
      <alignment horizontal="center" vertical="top"/>
    </xf>
    <xf numFmtId="0" fontId="22" fillId="9" borderId="29" xfId="0" applyFont="1" applyFill="1" applyBorder="1" applyAlignment="1">
      <alignment horizontal="center" vertical="top"/>
    </xf>
    <xf numFmtId="0" fontId="22" fillId="10" borderId="29" xfId="0" applyFont="1" applyFill="1" applyBorder="1" applyAlignment="1">
      <alignment horizontal="center" vertical="top"/>
    </xf>
    <xf numFmtId="0" fontId="22" fillId="11" borderId="29" xfId="0" applyFont="1" applyFill="1" applyBorder="1" applyAlignment="1">
      <alignment horizontal="center" vertical="top"/>
    </xf>
    <xf numFmtId="0" fontId="22" fillId="12" borderId="29" xfId="0" applyFont="1" applyFill="1" applyBorder="1" applyAlignment="1">
      <alignment horizontal="center" vertical="top"/>
    </xf>
    <xf numFmtId="0" fontId="23" fillId="7" borderId="0" xfId="0" applyFont="1" applyFill="1" applyBorder="1" applyAlignment="1">
      <alignment horizontal="center" vertical="center"/>
    </xf>
    <xf numFmtId="0" fontId="24" fillId="8" borderId="30" xfId="0" applyFont="1" applyFill="1" applyBorder="1" applyAlignment="1">
      <alignment horizontal="center" vertical="center"/>
    </xf>
    <xf numFmtId="0" fontId="30" fillId="16" borderId="37" xfId="0" applyFont="1" applyFill="1" applyBorder="1" applyAlignment="1">
      <alignment horizontal="center" vertical="center"/>
    </xf>
    <xf numFmtId="0" fontId="25" fillId="13" borderId="30" xfId="0" applyFont="1" applyFill="1" applyBorder="1" applyAlignment="1">
      <alignment horizontal="center" vertical="center"/>
    </xf>
    <xf numFmtId="0" fontId="26" fillId="7" borderId="0" xfId="0" applyFont="1" applyFill="1" applyBorder="1" applyAlignment="1">
      <alignment horizontal="left" vertical="center"/>
    </xf>
    <xf numFmtId="170" fontId="28" fillId="13" borderId="35" xfId="0" applyNumberFormat="1" applyFont="1" applyFill="1" applyBorder="1" applyAlignment="1">
      <alignment horizontal="right" vertical="center"/>
    </xf>
    <xf numFmtId="0" fontId="33" fillId="2" borderId="0" xfId="0" applyFont="1" applyFill="1" applyBorder="1" applyAlignment="1">
      <alignment horizontal="center" vertical="center"/>
    </xf>
  </cellXfs>
  <cellStyles count="7">
    <cellStyle name="Normal" xfId="0" builtinId="0"/>
    <cellStyle name="Pivot Table Category" xfId="1" xr:uid="{00000000-0005-0000-0000-000006000000}"/>
    <cellStyle name="Pivot Table Corner" xfId="2" xr:uid="{00000000-0005-0000-0000-000007000000}"/>
    <cellStyle name="Pivot Table Field" xfId="3" xr:uid="{00000000-0005-0000-0000-000008000000}"/>
    <cellStyle name="Pivot Table Result" xfId="4" xr:uid="{00000000-0005-0000-0000-000009000000}"/>
    <cellStyle name="Pivot Table Title" xfId="5" xr:uid="{00000000-0005-0000-0000-00000A000000}"/>
    <cellStyle name="Pivot Table Value" xfId="6" xr:uid="{00000000-0005-0000-0000-00000B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59569"/>
      <rgbColor rgb="FF000080"/>
      <rgbColor rgb="FF548235"/>
      <rgbColor rgb="FF800080"/>
      <rgbColor rgb="FF0F766D"/>
      <rgbColor rgb="FFBFBFBF"/>
      <rgbColor rgb="FF8064A2"/>
      <rgbColor rgb="FF4F81BD"/>
      <rgbColor rgb="FFC0504D"/>
      <rgbColor rgb="FFFFF2CC"/>
      <rgbColor rgb="FFEBFCF5"/>
      <rgbColor rgb="FF660066"/>
      <rgbColor rgb="FFEEF6FF"/>
      <rgbColor rgb="FF0369A0"/>
      <rgbColor rgb="FFCAD4E0"/>
      <rgbColor rgb="FF000080"/>
      <rgbColor rgb="FFFF00FF"/>
      <rgbColor rgb="FFEFF4F9"/>
      <rgbColor rgb="FF00FFFF"/>
      <rgbColor rgb="FF800080"/>
      <rgbColor rgb="FF800000"/>
      <rgbColor rgb="FF047856"/>
      <rgbColor rgb="FF0000FF"/>
      <rgbColor rgb="FF0284C6"/>
      <rgbColor rgb="FFEFFCF9"/>
      <rgbColor rgb="FFE1E8EF"/>
      <rgbColor rgb="FFFFFAEB"/>
      <rgbColor rgb="FFCCCCCC"/>
      <rgbColor rgb="FFD0E0FC"/>
      <rgbColor rgb="FFB7B7B7"/>
      <rgbColor rgb="FFD9D9D9"/>
      <rgbColor rgb="FF2E75B6"/>
      <rgbColor rgb="FF33CCCC"/>
      <rgbColor rgb="FF9BBB59"/>
      <rgbColor rgb="FFE9EEF6"/>
      <rgbColor rgb="FFF6F8FB"/>
      <rgbColor rgb="FFD97706"/>
      <rgbColor rgb="FF63748A"/>
      <rgbColor rgb="FF999999"/>
      <rgbColor rgb="FF1B365D"/>
      <rgbColor rgb="FF0D9387"/>
      <rgbColor rgb="FF1F4E78"/>
      <rgbColor rgb="FF1A1A1A"/>
      <rgbColor rgb="FFB45208"/>
      <rgbColor rgb="FF465469"/>
      <rgbColor rgb="FF2D4578"/>
      <rgbColor rgb="FF1A1B1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200" b="1" strike="noStrike" spc="-1">
                <a:solidFill>
                  <a:srgbClr val="1B365D"/>
                </a:solidFill>
                <a:latin typeface="Roboto"/>
                <a:ea typeface="Calibri"/>
              </a:defRPr>
            </a:pPr>
            <a:r>
              <a:rPr lang="en-ID" sz="1200" b="1" strike="noStrike" spc="-1">
                <a:solidFill>
                  <a:srgbClr val="1B365D"/>
                </a:solidFill>
                <a:latin typeface="Roboto"/>
                <a:ea typeface="Calibri"/>
              </a:rPr>
              <a:t>Distribusi Kondisi Fisik Aset BMN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doughnut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3393-407D-88E0-6783A49F2D7C}"/>
              </c:ext>
            </c:extLst>
          </c:dPt>
          <c:dPt>
            <c:idx val="1"/>
            <c:bubble3D val="0"/>
            <c:spPr>
              <a:solidFill>
                <a:schemeClr val="accent1">
                  <a:lumMod val="50000"/>
                </a:schemeClr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3393-407D-88E0-6783A49F2D7C}"/>
              </c:ext>
            </c:extLst>
          </c:dPt>
          <c:dPt>
            <c:idx val="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3393-407D-88E0-6783A49F2D7C}"/>
              </c:ext>
            </c:extLst>
          </c:dPt>
          <c:dPt>
            <c:idx val="3"/>
            <c:bubble3D val="0"/>
            <c:spPr>
              <a:solidFill>
                <a:schemeClr val="accent1">
                  <a:lumMod val="75000"/>
                </a:schemeClr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3393-407D-88E0-6783A49F2D7C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393-407D-88E0-6783A49F2D7C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393-407D-88E0-6783A49F2D7C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393-407D-88E0-6783A49F2D7C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393-407D-88E0-6783A49F2D7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Calc_Dashboard!$A$4:$A$7</c:f>
              <c:strCache>
                <c:ptCount val="4"/>
                <c:pt idx="0">
                  <c:v>Kondisi</c:v>
                </c:pt>
                <c:pt idx="1">
                  <c:v>Baik</c:v>
                </c:pt>
                <c:pt idx="2">
                  <c:v>Rusak Ringan</c:v>
                </c:pt>
                <c:pt idx="3">
                  <c:v>Rusak Berat</c:v>
                </c:pt>
              </c:strCache>
            </c:strRef>
          </c:cat>
          <c:val>
            <c:numRef>
              <c:f>Calc_Dashboard!$B$4:$B$7</c:f>
              <c:numCache>
                <c:formatCode>General</c:formatCode>
                <c:ptCount val="4"/>
                <c:pt idx="0">
                  <c:v>0</c:v>
                </c:pt>
                <c:pt idx="1">
                  <c:v>16</c:v>
                </c:pt>
                <c:pt idx="2">
                  <c:v>5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393-407D-88E0-6783A49F2D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1A1A1A"/>
              </a:solidFill>
              <a:latin typeface="Calibri"/>
              <a:ea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noFill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200" b="1" strike="noStrike" spc="-1">
                <a:solidFill>
                  <a:srgbClr val="1B365D"/>
                </a:solidFill>
                <a:latin typeface="Roboto"/>
                <a:ea typeface="Calibri"/>
              </a:defRPr>
            </a:pPr>
            <a:r>
              <a:rPr lang="en-ID" sz="1200" b="1" strike="noStrike" spc="-1">
                <a:solidFill>
                  <a:srgbClr val="1B365D"/>
                </a:solidFill>
                <a:latin typeface="Roboto"/>
                <a:ea typeface="Calibri"/>
              </a:rPr>
              <a:t>Sebaran Jumlah Aset/Nama Barang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Calc_Dashboard!$E$4</c:f>
              <c:strCache>
                <c:ptCount val="1"/>
                <c:pt idx="0">
                  <c:v>Jumlah Unit</c:v>
                </c:pt>
              </c:strCache>
            </c:strRef>
          </c:tx>
          <c:spPr>
            <a:solidFill>
              <a:srgbClr val="1B365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Calc_Dashboard!$D$5:$D$14</c:f>
              <c:strCache>
                <c:ptCount val="10"/>
                <c:pt idx="0">
                  <c:v>AC Split</c:v>
                </c:pt>
                <c:pt idx="1">
                  <c:v>Kendaraan Bermotor Roda Dua</c:v>
                </c:pt>
                <c:pt idx="2">
                  <c:v>Kursi Kerja</c:v>
                </c:pt>
                <c:pt idx="3">
                  <c:v>Laptop</c:v>
                </c:pt>
                <c:pt idx="4">
                  <c:v>Lemari Besi</c:v>
                </c:pt>
                <c:pt idx="5">
                  <c:v>Lemari Kayu</c:v>
                </c:pt>
                <c:pt idx="6">
                  <c:v>Meja Kerja Kayu</c:v>
                </c:pt>
                <c:pt idx="7">
                  <c:v>Personal Komputer (PC Unit)</c:v>
                </c:pt>
                <c:pt idx="8">
                  <c:v>Printer</c:v>
                </c:pt>
                <c:pt idx="9">
                  <c:v>Televisi</c:v>
                </c:pt>
              </c:strCache>
            </c:strRef>
          </c:cat>
          <c:val>
            <c:numRef>
              <c:f>Calc_Dashboard!$E$5:$E$14</c:f>
              <c:numCache>
                <c:formatCode>General</c:formatCode>
                <c:ptCount val="10"/>
                <c:pt idx="0">
                  <c:v>3</c:v>
                </c:pt>
                <c:pt idx="1">
                  <c:v>2</c:v>
                </c:pt>
                <c:pt idx="2">
                  <c:v>3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7D-4366-B2E6-647753C8AE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2140466"/>
        <c:axId val="65073212"/>
      </c:barChart>
      <c:catAx>
        <c:axId val="32140466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65073212"/>
        <c:crosses val="autoZero"/>
        <c:auto val="1"/>
        <c:lblAlgn val="ctr"/>
        <c:lblOffset val="100"/>
        <c:noMultiLvlLbl val="0"/>
      </c:catAx>
      <c:valAx>
        <c:axId val="65073212"/>
        <c:scaling>
          <c:orientation val="minMax"/>
        </c:scaling>
        <c:delete val="0"/>
        <c:axPos val="b"/>
        <c:majorGridlines>
          <c:spPr>
            <a:ln w="6480">
              <a:noFill/>
              <a:round/>
            </a:ln>
          </c:spPr>
        </c:majorGridlines>
        <c:minorGridlines>
          <c:spPr>
            <a:ln w="6480">
              <a:noFill/>
              <a:round/>
            </a:ln>
          </c:spPr>
        </c:min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32140466"/>
        <c:crosses val="max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noFill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200" b="1" strike="noStrike" spc="-1">
                <a:solidFill>
                  <a:srgbClr val="1B365D"/>
                </a:solidFill>
                <a:latin typeface="Roboto"/>
                <a:ea typeface="Calibri"/>
              </a:defRPr>
            </a:pPr>
            <a:r>
              <a:rPr lang="en-ID" sz="1200" b="1" strike="noStrike" spc="-1">
                <a:solidFill>
                  <a:srgbClr val="1B365D"/>
                </a:solidFill>
                <a:latin typeface="Roboto"/>
                <a:ea typeface="Calibri"/>
              </a:rPr>
              <a:t>Tren Nilai Perolehan/Tahun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Calc_Dashboard!$H$4</c:f>
              <c:strCache>
                <c:ptCount val="1"/>
                <c:pt idx="0">
                  <c:v>Nilai Perolehan (Rp)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Calc_Dashboard!$G$5:$G$14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Calc_Dashboard!$H$5:$H$14</c:f>
              <c:numCache>
                <c:formatCode>"Rp"#,##0</c:formatCode>
                <c:ptCount val="10"/>
                <c:pt idx="0">
                  <c:v>3500000</c:v>
                </c:pt>
                <c:pt idx="1">
                  <c:v>2765000</c:v>
                </c:pt>
                <c:pt idx="2">
                  <c:v>2825000</c:v>
                </c:pt>
                <c:pt idx="3">
                  <c:v>7435000</c:v>
                </c:pt>
                <c:pt idx="4">
                  <c:v>23115000</c:v>
                </c:pt>
                <c:pt idx="5">
                  <c:v>25200000</c:v>
                </c:pt>
                <c:pt idx="6">
                  <c:v>7535000</c:v>
                </c:pt>
                <c:pt idx="7">
                  <c:v>26890000</c:v>
                </c:pt>
                <c:pt idx="8">
                  <c:v>27780000</c:v>
                </c:pt>
                <c:pt idx="9">
                  <c:v>5855000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C2-46C2-A485-084D6553C8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9466217"/>
        <c:axId val="82313439"/>
      </c:barChart>
      <c:catAx>
        <c:axId val="9946621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82313439"/>
        <c:crosses val="autoZero"/>
        <c:auto val="1"/>
        <c:lblAlgn val="ctr"/>
        <c:lblOffset val="100"/>
        <c:noMultiLvlLbl val="0"/>
      </c:catAx>
      <c:valAx>
        <c:axId val="82313439"/>
        <c:scaling>
          <c:orientation val="minMax"/>
        </c:scaling>
        <c:delete val="0"/>
        <c:axPos val="l"/>
        <c:majorGridlines>
          <c:spPr>
            <a:ln w="6480">
              <a:noFill/>
              <a:round/>
            </a:ln>
          </c:spPr>
        </c:majorGridlines>
        <c:minorGridlines>
          <c:spPr>
            <a:ln w="6480">
              <a:noFill/>
              <a:round/>
            </a:ln>
          </c:spPr>
        </c:minorGridlines>
        <c:numFmt formatCode="&quot;Rp&quot;#,##0_);[Red]\(&quot;Rp&quot;#,##0\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9946621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noFill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200" b="1" strike="noStrike" spc="-1">
                <a:solidFill>
                  <a:srgbClr val="1B365D"/>
                </a:solidFill>
                <a:latin typeface="Roboto"/>
                <a:ea typeface="Calibri"/>
              </a:defRPr>
            </a:pPr>
            <a:r>
              <a:rPr lang="en-ID" sz="1200" b="1" strike="noStrike" spc="-1">
                <a:solidFill>
                  <a:srgbClr val="1B365D"/>
                </a:solidFill>
                <a:latin typeface="Roboto"/>
                <a:ea typeface="Calibri"/>
              </a:rPr>
              <a:t>Perbandingan Sisa Nilai Buku/Nama Barang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Calc_Dashboard!$K$4</c:f>
              <c:strCache>
                <c:ptCount val="1"/>
                <c:pt idx="0">
                  <c:v>Nilai Buku (Rp)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Calc_Dashboard!$J$5:$J$14</c:f>
              <c:strCache>
                <c:ptCount val="10"/>
                <c:pt idx="0">
                  <c:v>AC Split</c:v>
                </c:pt>
                <c:pt idx="1">
                  <c:v>Kendaraan Bermotor Roda Dua</c:v>
                </c:pt>
                <c:pt idx="2">
                  <c:v>Kursi Kerja</c:v>
                </c:pt>
                <c:pt idx="3">
                  <c:v>Laptop</c:v>
                </c:pt>
                <c:pt idx="4">
                  <c:v>Lemari Besi</c:v>
                </c:pt>
                <c:pt idx="5">
                  <c:v>Lemari Kayu</c:v>
                </c:pt>
                <c:pt idx="6">
                  <c:v>Meja Kerja Kayu</c:v>
                </c:pt>
                <c:pt idx="7">
                  <c:v>Personal Komputer (PC Unit)</c:v>
                </c:pt>
                <c:pt idx="8">
                  <c:v>Printer</c:v>
                </c:pt>
                <c:pt idx="9">
                  <c:v>Televisi</c:v>
                </c:pt>
              </c:strCache>
            </c:strRef>
          </c:cat>
          <c:val>
            <c:numRef>
              <c:f>Calc_Dashboard!$K$5:$K$14</c:f>
              <c:numCache>
                <c:formatCode>"Rp"#,##0</c:formatCode>
                <c:ptCount val="10"/>
                <c:pt idx="0">
                  <c:v>4530000</c:v>
                </c:pt>
                <c:pt idx="1">
                  <c:v>18742142.857142854</c:v>
                </c:pt>
                <c:pt idx="2">
                  <c:v>1265000</c:v>
                </c:pt>
                <c:pt idx="3">
                  <c:v>3067500</c:v>
                </c:pt>
                <c:pt idx="4">
                  <c:v>2280000</c:v>
                </c:pt>
                <c:pt idx="5">
                  <c:v>1532500</c:v>
                </c:pt>
                <c:pt idx="6">
                  <c:v>1674000</c:v>
                </c:pt>
                <c:pt idx="7">
                  <c:v>2185000</c:v>
                </c:pt>
                <c:pt idx="8">
                  <c:v>638750</c:v>
                </c:pt>
                <c:pt idx="9">
                  <c:v>1330000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AB-433E-93DF-0A27934BB7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9349374"/>
        <c:axId val="76085052"/>
      </c:barChart>
      <c:catAx>
        <c:axId val="99349374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76085052"/>
        <c:crosses val="autoZero"/>
        <c:auto val="1"/>
        <c:lblAlgn val="ctr"/>
        <c:lblOffset val="100"/>
        <c:noMultiLvlLbl val="0"/>
      </c:catAx>
      <c:valAx>
        <c:axId val="76085052"/>
        <c:scaling>
          <c:orientation val="minMax"/>
        </c:scaling>
        <c:delete val="0"/>
        <c:axPos val="b"/>
        <c:majorGridlines>
          <c:spPr>
            <a:ln w="6480">
              <a:noFill/>
              <a:round/>
            </a:ln>
          </c:spPr>
        </c:majorGridlines>
        <c:minorGridlines>
          <c:spPr>
            <a:ln w="6480">
              <a:noFill/>
              <a:round/>
            </a:ln>
          </c:spPr>
        </c:minorGridlines>
        <c:numFmt formatCode="&quot;Rp&quot;#,##0_);[Red]\(&quot;Rp&quot;#,##0\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99349374"/>
        <c:crosses val="max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noFill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200" b="1" strike="noStrike" spc="-1">
                <a:solidFill>
                  <a:srgbClr val="1B365D"/>
                </a:solidFill>
                <a:latin typeface="Roboto"/>
                <a:ea typeface="Calibri"/>
              </a:defRPr>
            </a:pPr>
            <a:r>
              <a:rPr lang="en-ID" sz="1200" b="1" strike="noStrike" spc="-1">
                <a:solidFill>
                  <a:srgbClr val="1B365D"/>
                </a:solidFill>
                <a:latin typeface="Roboto"/>
                <a:ea typeface="Calibri"/>
              </a:rPr>
              <a:t>Distribusi Status Usia Aset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doughnut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4F81B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50A2-4D41-9F3F-4EAFCA683944}"/>
              </c:ext>
            </c:extLst>
          </c:dPt>
          <c:dPt>
            <c:idx val="1"/>
            <c:bubble3D val="0"/>
            <c:spPr>
              <a:solidFill>
                <a:schemeClr val="accent1">
                  <a:lumMod val="75000"/>
                </a:schemeClr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50A2-4D41-9F3F-4EAFCA683944}"/>
              </c:ext>
            </c:extLst>
          </c:dPt>
          <c:dPt>
            <c:idx val="2"/>
            <c:bubble3D val="0"/>
            <c:spPr>
              <a:solidFill>
                <a:schemeClr val="accent1">
                  <a:lumMod val="50000"/>
                </a:schemeClr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50A2-4D41-9F3F-4EAFCA683944}"/>
              </c:ext>
            </c:extLst>
          </c:dPt>
          <c:dPt>
            <c:idx val="3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50A2-4D41-9F3F-4EAFCA683944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0A2-4D41-9F3F-4EAFCA683944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0A2-4D41-9F3F-4EAFCA683944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0A2-4D41-9F3F-4EAFCA683944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0A2-4D41-9F3F-4EAFCA6839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Calc_Dashboard!$M$4:$M$7</c:f>
              <c:strCache>
                <c:ptCount val="4"/>
                <c:pt idx="0">
                  <c:v>Status Usia</c:v>
                </c:pt>
                <c:pt idx="1">
                  <c:v>Baru</c:v>
                </c:pt>
                <c:pt idx="2">
                  <c:v>Sedang Pakai</c:v>
                </c:pt>
                <c:pt idx="3">
                  <c:v>Lama</c:v>
                </c:pt>
              </c:strCache>
            </c:strRef>
          </c:cat>
          <c:val>
            <c:numRef>
              <c:f>Calc_Dashboard!$N$4:$N$7</c:f>
              <c:numCache>
                <c:formatCode>General</c:formatCode>
                <c:ptCount val="4"/>
                <c:pt idx="0">
                  <c:v>0</c:v>
                </c:pt>
                <c:pt idx="1">
                  <c:v>6</c:v>
                </c:pt>
                <c:pt idx="2">
                  <c:v>10</c:v>
                </c:pt>
                <c:pt idx="3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0A2-4D41-9F3F-4EAFCA6839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1A1A1A"/>
              </a:solidFill>
              <a:latin typeface="Calibri"/>
              <a:ea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noFill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</xdr:row>
      <xdr:rowOff>123825</xdr:rowOff>
    </xdr:from>
    <xdr:to>
      <xdr:col>5</xdr:col>
      <xdr:colOff>32400</xdr:colOff>
      <xdr:row>23</xdr:row>
      <xdr:rowOff>27645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714375</xdr:colOff>
      <xdr:row>11</xdr:row>
      <xdr:rowOff>152400</xdr:rowOff>
    </xdr:from>
    <xdr:to>
      <xdr:col>10</xdr:col>
      <xdr:colOff>163995</xdr:colOff>
      <xdr:row>23</xdr:row>
      <xdr:rowOff>56220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24</xdr:row>
      <xdr:rowOff>0</xdr:rowOff>
    </xdr:from>
    <xdr:to>
      <xdr:col>7</xdr:col>
      <xdr:colOff>300960</xdr:colOff>
      <xdr:row>35</xdr:row>
      <xdr:rowOff>94680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8</xdr:col>
      <xdr:colOff>47520</xdr:colOff>
      <xdr:row>24</xdr:row>
      <xdr:rowOff>0</xdr:rowOff>
    </xdr:from>
    <xdr:to>
      <xdr:col>13</xdr:col>
      <xdr:colOff>459720</xdr:colOff>
      <xdr:row>35</xdr:row>
      <xdr:rowOff>94680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10</xdr:col>
      <xdr:colOff>600105</xdr:colOff>
      <xdr:row>11</xdr:row>
      <xdr:rowOff>142875</xdr:rowOff>
    </xdr:from>
    <xdr:to>
      <xdr:col>13</xdr:col>
      <xdr:colOff>905385</xdr:colOff>
      <xdr:row>23</xdr:row>
      <xdr:rowOff>46695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Date="0" createdVersion="3" recordCount="25" xr:uid="{00000000-000A-0000-FFFF-FFFF01000000}">
  <cacheSource type="worksheet">
    <worksheetSource ref="A4:P29" sheet="Dataset"/>
  </cacheSource>
  <cacheFields count="16">
    <cacheField name="No" numFmtId="0">
      <sharedItems containsSemiMixedTypes="0" containsString="0" containsNumber="1" containsInteger="1" minValue="1" maxValue="25" count="25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</sharedItems>
    </cacheField>
    <cacheField name="ID Aset (Mentah)" numFmtId="0">
      <sharedItems count="25">
        <s v="  3201-2016-00001  "/>
        <s v="  3201-2019-00005  "/>
        <s v="  3201-2020-00009  "/>
        <s v="  3201-2022-00013  "/>
        <s v="  3201-2023-00017  "/>
        <s v="  3201-2024-00021  "/>
        <s v="  3201-2025-00025  "/>
        <s v="3201-2017-_x0009_00002"/>
        <s v="3201-2018-00003"/>
        <s v="3201-2018-00004   "/>
        <s v="3201-2019-00006"/>
        <s v="3201-2020-_x0009_00007"/>
        <s v="3201-2020-00008   "/>
        <s v="3201-2021-_x0009_00011"/>
        <s v="3201-2021-00010"/>
        <s v="3201-2021-00012   "/>
        <s v="3201-2022-_x0009_00015"/>
        <s v="3201-2022-00014"/>
        <s v="3201-2023-_x0009_00019"/>
        <s v="3201-2023-00016   "/>
        <s v="3201-2023-00018"/>
        <s v="3201-2024-_x0009_00023"/>
        <s v="3201-2024-00020   "/>
        <s v="3201-2024-00022"/>
        <s v="3201-2025-00024   "/>
      </sharedItems>
    </cacheField>
    <cacheField name="Kode BMN" numFmtId="0">
      <sharedItems count="10">
        <s v="3.05.01.04.001"/>
        <s v="3.05.01.04.003"/>
        <s v="3.05.02.01.001"/>
        <s v="3.05.02.01.004"/>
        <s v="3.05.02.03.002"/>
        <s v="3.05.02.04.001"/>
        <s v="3.05.02.06.008"/>
        <s v="3.05.02.06.010"/>
        <s v="3.05.02.06.012"/>
        <s v="3.06.01.01.002"/>
      </sharedItems>
    </cacheField>
    <cacheField name="NUP" numFmtId="0">
      <sharedItems containsSemiMixedTypes="0" containsString="0" containsNumber="1" containsInteger="1" minValue="1" maxValue="25" count="25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</sharedItems>
    </cacheField>
    <cacheField name="Nama Barang" numFmtId="0">
      <sharedItems count="10">
        <s v="AC Split"/>
        <s v="Kendaraan Bermotor Roda Dua"/>
        <s v="Kursi Kerja"/>
        <s v="Laptop"/>
        <s v="Lemari Besi"/>
        <s v="Lemari Kayu"/>
        <s v="Meja Kerja Kayu"/>
        <s v="Personal Komputer (PC Unit)"/>
        <s v="Printer"/>
        <s v="Televisi"/>
      </sharedItems>
    </cacheField>
    <cacheField name="Tahun Perolehan" numFmtId="0">
      <sharedItems containsSemiMixedTypes="0" containsString="0" containsNumber="1" containsInteger="1" minValue="2016" maxValue="2025" count="10">
        <n v="2016"/>
        <n v="2017"/>
        <n v="2018"/>
        <n v="2019"/>
        <n v="2020"/>
        <n v="2021"/>
        <n v="2022"/>
        <n v="2023"/>
        <n v="2024"/>
        <n v="2025"/>
      </sharedItems>
    </cacheField>
    <cacheField name="Kondisi" numFmtId="0">
      <sharedItems count="3">
        <s v="B"/>
        <s v="RB"/>
        <s v="RR"/>
      </sharedItems>
    </cacheField>
    <cacheField name="Ket. Kondisi" numFmtId="0">
      <sharedItems count="3">
        <s v="Baik"/>
        <s v="Rusak Berat"/>
        <s v="Rusak Ringan"/>
      </sharedItems>
    </cacheField>
    <cacheField name="Harga Perolehan (Rp)" numFmtId="0">
      <sharedItems containsSemiMixedTypes="0" containsString="0" containsNumber="1" containsInteger="1" minValue="995000" maxValue="18785000" count="25">
        <n v="995000"/>
        <n v="1145000"/>
        <n v="1295000"/>
        <n v="1830000"/>
        <n v="1980000"/>
        <n v="2130000"/>
        <n v="2405000"/>
        <n v="2555000"/>
        <n v="2765000"/>
        <n v="2915000"/>
        <n v="3065000"/>
        <n v="3175000"/>
        <n v="3325000"/>
        <n v="3500000"/>
        <n v="3650000"/>
        <n v="3800000"/>
        <n v="4260000"/>
        <n v="4410000"/>
        <n v="4560000"/>
        <n v="8590000"/>
        <n v="8740000"/>
        <n v="12120000"/>
        <n v="12270000"/>
        <n v="18635000"/>
        <n v="18785000"/>
      </sharedItems>
    </cacheField>
    <cacheField name="Umur Aset (Th)" numFmtId="0">
      <sharedItems containsSemiMixedTypes="0" containsString="0" containsNumber="1" containsInteger="1" minValue="1" maxValue="10" count="10">
        <n v="1"/>
        <n v="2"/>
        <n v="3"/>
        <n v="4"/>
        <n v="5"/>
        <n v="6"/>
        <n v="7"/>
        <n v="8"/>
        <n v="9"/>
        <n v="10"/>
      </sharedItems>
    </cacheField>
    <cacheField name="Status Usia" numFmtId="0">
      <sharedItems count="3">
        <s v="Baru"/>
        <s v="Lama"/>
        <s v="Sedang Pakai"/>
      </sharedItems>
    </cacheField>
    <cacheField name="Kode Ringkas Aset" numFmtId="0">
      <sharedItems count="25">
        <s v="3.05.01.04.001 - Lemari Besi - No.001"/>
        <s v="3.05.01.04.001 - Lemari Besi - No.011"/>
        <s v="3.05.01.04.001 - Lemari Besi - No.021"/>
        <s v="3.05.01.04.003 - Lemari Kayu - No.002"/>
        <s v="3.05.01.04.003 - Lemari Kayu - No.012"/>
        <s v="3.05.01.04.003 - Lemari Kayu - No.022"/>
        <s v="3.05.02.01.001 - Meja Kerja Kayu - No.003"/>
        <s v="3.05.02.01.001 - Meja Kerja Kayu - No.013"/>
        <s v="3.05.02.01.001 - Meja Kerja Kayu - No.023"/>
        <s v="3.05.02.01.004 - Kursi Kerja - No.004"/>
        <s v="3.05.02.01.004 - Kursi Kerja - No.014"/>
        <s v="3.05.02.01.004 - Kursi Kerja - No.024"/>
        <s v="3.05.02.03.002 - AC Split - No.005"/>
        <s v="3.05.02.03.002 - AC Split - No.015"/>
        <s v="3.05.02.03.002 - AC Split - No.025"/>
        <s v="3.05.02.04.001 - Televisi - No.006"/>
        <s v="3.05.02.04.001 - Televisi - No.016"/>
        <s v="3.05.02.06.008 - Personal Komputer (PC Unit) - No.007"/>
        <s v="3.05.02.06.008 - Personal Komputer (PC Unit) - No.017"/>
        <s v="3.05.02.06.010 - Printer - No.008"/>
        <s v="3.05.02.06.010 - Printer - No.018"/>
        <s v="3.05.02.06.012 - Laptop - No.009"/>
        <s v="3.05.02.06.012 - Laptop - No.019"/>
        <s v="3.06.01.01.002 - Kendaraan Bermotor Roda Dua - No.010"/>
        <s v="3.06.01.01.002 - Kendaraan Bermotor Roda Dua - No.020"/>
      </sharedItems>
    </cacheField>
    <cacheField name="ID Aset Bersih" numFmtId="0">
      <sharedItems count="25">
        <s v="3201-2016-00001"/>
        <s v="3201-2017-_x0009_00002"/>
        <s v="3201-2018-00003"/>
        <s v="3201-2018-00004"/>
        <s v="3201-2019-00005"/>
        <s v="3201-2019-00006"/>
        <s v="3201-2020-_x0009_00007"/>
        <s v="3201-2020-00008"/>
        <s v="3201-2020-00009"/>
        <s v="3201-2021-_x0009_00011"/>
        <s v="3201-2021-00010"/>
        <s v="3201-2021-00012"/>
        <s v="3201-2022-_x0009_00015"/>
        <s v="3201-2022-00013"/>
        <s v="3201-2022-00014"/>
        <s v="3201-2023-_x0009_00019"/>
        <s v="3201-2023-00016"/>
        <s v="3201-2023-00017"/>
        <s v="3201-2023-00018"/>
        <s v="3201-2024-_x0009_00023"/>
        <s v="3201-2024-00020"/>
        <s v="3201-2024-00021"/>
        <s v="3201-2024-00022"/>
        <s v="3201-2025-00024"/>
        <s v="3201-2025-00025"/>
      </sharedItems>
    </cacheField>
    <cacheField name="Kode Satker" numFmtId="0">
      <sharedItems count="1">
        <s v="3201"/>
      </sharedItems>
    </cacheField>
    <cacheField name="Tahun dari ID" numFmtId="0">
      <sharedItems count="10">
        <s v="2016"/>
        <s v="2017"/>
        <s v="2018"/>
        <s v="2019"/>
        <s v="2020"/>
        <s v="2021"/>
        <s v="2022"/>
        <s v="2023"/>
        <s v="2024"/>
        <s v="2025"/>
      </sharedItems>
    </cacheField>
    <cacheField name="NUP dari ID" numFmtId="0">
      <sharedItems count="25">
        <s v="00001"/>
        <s v="00002"/>
        <s v="00003"/>
        <s v="00004"/>
        <s v="00005"/>
        <s v="00006"/>
        <s v="00007"/>
        <s v="00008"/>
        <s v="00009"/>
        <s v="00010"/>
        <s v="00011"/>
        <s v="00012"/>
        <s v="00013"/>
        <s v="00014"/>
        <s v="00015"/>
        <s v="00016"/>
        <s v="00017"/>
        <s v="00018"/>
        <s v="00019"/>
        <s v="00020"/>
        <s v="00021"/>
        <s v="00022"/>
        <s v="00023"/>
        <s v="00024"/>
        <s v="0002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5">
  <r>
    <x v="0"/>
    <x v="0"/>
    <x v="0"/>
    <x v="0"/>
    <x v="4"/>
    <x v="0"/>
    <x v="0"/>
    <x v="0"/>
    <x v="13"/>
    <x v="9"/>
    <x v="1"/>
    <x v="0"/>
    <x v="0"/>
    <x v="0"/>
    <x v="0"/>
    <x v="0"/>
  </r>
  <r>
    <x v="1"/>
    <x v="7"/>
    <x v="1"/>
    <x v="1"/>
    <x v="5"/>
    <x v="1"/>
    <x v="0"/>
    <x v="0"/>
    <x v="8"/>
    <x v="8"/>
    <x v="1"/>
    <x v="3"/>
    <x v="1"/>
    <x v="0"/>
    <x v="1"/>
    <x v="1"/>
  </r>
  <r>
    <x v="2"/>
    <x v="8"/>
    <x v="2"/>
    <x v="2"/>
    <x v="6"/>
    <x v="2"/>
    <x v="2"/>
    <x v="2"/>
    <x v="3"/>
    <x v="7"/>
    <x v="1"/>
    <x v="6"/>
    <x v="2"/>
    <x v="0"/>
    <x v="2"/>
    <x v="2"/>
  </r>
  <r>
    <x v="3"/>
    <x v="9"/>
    <x v="3"/>
    <x v="3"/>
    <x v="2"/>
    <x v="2"/>
    <x v="0"/>
    <x v="0"/>
    <x v="0"/>
    <x v="7"/>
    <x v="1"/>
    <x v="9"/>
    <x v="3"/>
    <x v="0"/>
    <x v="2"/>
    <x v="3"/>
  </r>
  <r>
    <x v="4"/>
    <x v="1"/>
    <x v="4"/>
    <x v="4"/>
    <x v="0"/>
    <x v="3"/>
    <x v="1"/>
    <x v="1"/>
    <x v="16"/>
    <x v="6"/>
    <x v="1"/>
    <x v="12"/>
    <x v="4"/>
    <x v="0"/>
    <x v="3"/>
    <x v="4"/>
  </r>
  <r>
    <x v="5"/>
    <x v="10"/>
    <x v="5"/>
    <x v="5"/>
    <x v="9"/>
    <x v="3"/>
    <x v="0"/>
    <x v="0"/>
    <x v="11"/>
    <x v="6"/>
    <x v="1"/>
    <x v="15"/>
    <x v="5"/>
    <x v="0"/>
    <x v="3"/>
    <x v="5"/>
  </r>
  <r>
    <x v="6"/>
    <x v="11"/>
    <x v="6"/>
    <x v="6"/>
    <x v="7"/>
    <x v="4"/>
    <x v="2"/>
    <x v="2"/>
    <x v="19"/>
    <x v="5"/>
    <x v="1"/>
    <x v="17"/>
    <x v="6"/>
    <x v="0"/>
    <x v="4"/>
    <x v="6"/>
  </r>
  <r>
    <x v="7"/>
    <x v="12"/>
    <x v="7"/>
    <x v="7"/>
    <x v="8"/>
    <x v="4"/>
    <x v="0"/>
    <x v="0"/>
    <x v="6"/>
    <x v="5"/>
    <x v="1"/>
    <x v="19"/>
    <x v="7"/>
    <x v="0"/>
    <x v="4"/>
    <x v="7"/>
  </r>
  <r>
    <x v="8"/>
    <x v="2"/>
    <x v="8"/>
    <x v="8"/>
    <x v="3"/>
    <x v="4"/>
    <x v="0"/>
    <x v="0"/>
    <x v="21"/>
    <x v="5"/>
    <x v="1"/>
    <x v="21"/>
    <x v="8"/>
    <x v="0"/>
    <x v="4"/>
    <x v="8"/>
  </r>
  <r>
    <x v="9"/>
    <x v="14"/>
    <x v="9"/>
    <x v="9"/>
    <x v="1"/>
    <x v="5"/>
    <x v="1"/>
    <x v="1"/>
    <x v="23"/>
    <x v="4"/>
    <x v="2"/>
    <x v="23"/>
    <x v="10"/>
    <x v="0"/>
    <x v="5"/>
    <x v="9"/>
  </r>
  <r>
    <x v="10"/>
    <x v="13"/>
    <x v="0"/>
    <x v="10"/>
    <x v="4"/>
    <x v="5"/>
    <x v="0"/>
    <x v="0"/>
    <x v="14"/>
    <x v="4"/>
    <x v="2"/>
    <x v="1"/>
    <x v="9"/>
    <x v="0"/>
    <x v="5"/>
    <x v="10"/>
  </r>
  <r>
    <x v="11"/>
    <x v="15"/>
    <x v="1"/>
    <x v="11"/>
    <x v="5"/>
    <x v="5"/>
    <x v="2"/>
    <x v="2"/>
    <x v="9"/>
    <x v="4"/>
    <x v="2"/>
    <x v="4"/>
    <x v="11"/>
    <x v="0"/>
    <x v="5"/>
    <x v="11"/>
  </r>
  <r>
    <x v="12"/>
    <x v="3"/>
    <x v="2"/>
    <x v="12"/>
    <x v="6"/>
    <x v="6"/>
    <x v="0"/>
    <x v="0"/>
    <x v="4"/>
    <x v="3"/>
    <x v="2"/>
    <x v="7"/>
    <x v="13"/>
    <x v="0"/>
    <x v="6"/>
    <x v="12"/>
  </r>
  <r>
    <x v="13"/>
    <x v="17"/>
    <x v="3"/>
    <x v="13"/>
    <x v="2"/>
    <x v="6"/>
    <x v="0"/>
    <x v="0"/>
    <x v="1"/>
    <x v="3"/>
    <x v="2"/>
    <x v="10"/>
    <x v="14"/>
    <x v="0"/>
    <x v="6"/>
    <x v="13"/>
  </r>
  <r>
    <x v="14"/>
    <x v="16"/>
    <x v="4"/>
    <x v="14"/>
    <x v="0"/>
    <x v="6"/>
    <x v="1"/>
    <x v="1"/>
    <x v="17"/>
    <x v="3"/>
    <x v="2"/>
    <x v="13"/>
    <x v="12"/>
    <x v="0"/>
    <x v="6"/>
    <x v="14"/>
  </r>
  <r>
    <x v="15"/>
    <x v="19"/>
    <x v="5"/>
    <x v="15"/>
    <x v="9"/>
    <x v="7"/>
    <x v="0"/>
    <x v="0"/>
    <x v="12"/>
    <x v="2"/>
    <x v="2"/>
    <x v="16"/>
    <x v="16"/>
    <x v="0"/>
    <x v="7"/>
    <x v="15"/>
  </r>
  <r>
    <x v="16"/>
    <x v="4"/>
    <x v="6"/>
    <x v="16"/>
    <x v="7"/>
    <x v="7"/>
    <x v="0"/>
    <x v="0"/>
    <x v="20"/>
    <x v="2"/>
    <x v="2"/>
    <x v="18"/>
    <x v="17"/>
    <x v="0"/>
    <x v="7"/>
    <x v="16"/>
  </r>
  <r>
    <x v="17"/>
    <x v="20"/>
    <x v="7"/>
    <x v="17"/>
    <x v="8"/>
    <x v="7"/>
    <x v="2"/>
    <x v="2"/>
    <x v="7"/>
    <x v="2"/>
    <x v="2"/>
    <x v="20"/>
    <x v="18"/>
    <x v="0"/>
    <x v="7"/>
    <x v="17"/>
  </r>
  <r>
    <x v="18"/>
    <x v="18"/>
    <x v="8"/>
    <x v="18"/>
    <x v="3"/>
    <x v="7"/>
    <x v="0"/>
    <x v="0"/>
    <x v="22"/>
    <x v="2"/>
    <x v="2"/>
    <x v="22"/>
    <x v="15"/>
    <x v="0"/>
    <x v="7"/>
    <x v="18"/>
  </r>
  <r>
    <x v="19"/>
    <x v="22"/>
    <x v="9"/>
    <x v="19"/>
    <x v="1"/>
    <x v="8"/>
    <x v="1"/>
    <x v="1"/>
    <x v="24"/>
    <x v="1"/>
    <x v="0"/>
    <x v="24"/>
    <x v="20"/>
    <x v="0"/>
    <x v="8"/>
    <x v="19"/>
  </r>
  <r>
    <x v="20"/>
    <x v="5"/>
    <x v="0"/>
    <x v="20"/>
    <x v="4"/>
    <x v="8"/>
    <x v="0"/>
    <x v="0"/>
    <x v="15"/>
    <x v="1"/>
    <x v="0"/>
    <x v="2"/>
    <x v="21"/>
    <x v="0"/>
    <x v="8"/>
    <x v="20"/>
  </r>
  <r>
    <x v="21"/>
    <x v="23"/>
    <x v="1"/>
    <x v="21"/>
    <x v="5"/>
    <x v="8"/>
    <x v="0"/>
    <x v="0"/>
    <x v="10"/>
    <x v="1"/>
    <x v="0"/>
    <x v="5"/>
    <x v="22"/>
    <x v="0"/>
    <x v="8"/>
    <x v="21"/>
  </r>
  <r>
    <x v="22"/>
    <x v="21"/>
    <x v="2"/>
    <x v="22"/>
    <x v="6"/>
    <x v="8"/>
    <x v="2"/>
    <x v="2"/>
    <x v="5"/>
    <x v="1"/>
    <x v="0"/>
    <x v="8"/>
    <x v="19"/>
    <x v="0"/>
    <x v="8"/>
    <x v="22"/>
  </r>
  <r>
    <x v="23"/>
    <x v="24"/>
    <x v="3"/>
    <x v="23"/>
    <x v="2"/>
    <x v="9"/>
    <x v="0"/>
    <x v="0"/>
    <x v="2"/>
    <x v="0"/>
    <x v="0"/>
    <x v="11"/>
    <x v="23"/>
    <x v="0"/>
    <x v="9"/>
    <x v="23"/>
  </r>
  <r>
    <x v="24"/>
    <x v="6"/>
    <x v="4"/>
    <x v="24"/>
    <x v="0"/>
    <x v="9"/>
    <x v="0"/>
    <x v="0"/>
    <x v="18"/>
    <x v="0"/>
    <x v="0"/>
    <x v="14"/>
    <x v="24"/>
    <x v="0"/>
    <x v="9"/>
    <x v="2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Data Mentah" cacheId="0" applyNumberFormats="0" applyBorderFormats="0" applyFontFormats="0" applyPatternFormats="0" applyAlignmentFormats="0" applyWidthHeightFormats="0" dataCaption="Values" itemPrintTitles="1" indent="0" compact="0" compactData="0">
  <location ref="A44:E56" firstHeaderRow="1" firstDataRow="2" firstDataCol="1"/>
  <pivotFields count="16"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outline="0" showAll="0"/>
    <pivotField axis="axisCol" compact="0" outline="0" showAll="0">
      <items count="4">
        <item x="0"/>
        <item x="1"/>
        <item x="2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4"/>
  </rowFields>
  <colFields count="1">
    <field x="6"/>
  </colFields>
  <dataFields count="1">
    <dataField name="Sum of Harga Perolehan (Rp)" fld="8" baseField="0" baseItem="0" numFmtId="3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showGridLines="0" zoomScaleNormal="100" workbookViewId="0">
      <selection activeCell="J22" sqref="J22"/>
    </sheetView>
  </sheetViews>
  <sheetFormatPr defaultColWidth="14.42578125" defaultRowHeight="15"/>
  <cols>
    <col min="1" max="1" width="20" style="1" customWidth="1"/>
    <col min="2" max="2" width="34" style="1" customWidth="1"/>
    <col min="3" max="3" width="12" style="1" customWidth="1"/>
    <col min="4" max="4" width="17.42578125" style="1" customWidth="1"/>
    <col min="5" max="5" width="4" style="1" customWidth="1"/>
    <col min="6" max="26" width="8.7109375" style="1" customWidth="1"/>
  </cols>
  <sheetData>
    <row r="1" spans="1:4" ht="15" customHeight="1">
      <c r="A1" s="83" t="s">
        <v>0</v>
      </c>
      <c r="B1" s="83"/>
      <c r="C1" s="83"/>
    </row>
    <row r="3" spans="1:4" ht="15" customHeight="1">
      <c r="A3" s="2" t="s">
        <v>1</v>
      </c>
      <c r="B3" s="2" t="s">
        <v>2</v>
      </c>
      <c r="C3" s="2" t="s">
        <v>3</v>
      </c>
      <c r="D3" s="2" t="s">
        <v>4</v>
      </c>
    </row>
    <row r="4" spans="1:4" ht="15" customHeight="1">
      <c r="A4" s="3" t="s">
        <v>5</v>
      </c>
      <c r="B4" s="3" t="s">
        <v>6</v>
      </c>
      <c r="C4" s="3" t="s">
        <v>7</v>
      </c>
      <c r="D4" s="4">
        <v>5</v>
      </c>
    </row>
    <row r="5" spans="1:4" ht="15" customHeight="1">
      <c r="A5" s="3" t="s">
        <v>8</v>
      </c>
      <c r="B5" s="3" t="s">
        <v>9</v>
      </c>
      <c r="C5" s="3" t="s">
        <v>7</v>
      </c>
      <c r="D5" s="4">
        <v>4</v>
      </c>
    </row>
    <row r="6" spans="1:4" ht="15" customHeight="1">
      <c r="A6" s="3" t="s">
        <v>10</v>
      </c>
      <c r="B6" s="3" t="s">
        <v>11</v>
      </c>
      <c r="C6" s="3" t="s">
        <v>12</v>
      </c>
      <c r="D6" s="4">
        <v>5</v>
      </c>
    </row>
    <row r="7" spans="1:4" ht="15" customHeight="1">
      <c r="A7" s="3" t="s">
        <v>13</v>
      </c>
      <c r="B7" s="3" t="s">
        <v>14</v>
      </c>
      <c r="C7" s="3" t="s">
        <v>12</v>
      </c>
      <c r="D7" s="4">
        <v>5</v>
      </c>
    </row>
    <row r="8" spans="1:4" ht="15" customHeight="1">
      <c r="A8" s="3" t="s">
        <v>15</v>
      </c>
      <c r="B8" s="3" t="s">
        <v>16</v>
      </c>
      <c r="C8" s="3" t="s">
        <v>7</v>
      </c>
      <c r="D8" s="4">
        <v>5</v>
      </c>
    </row>
    <row r="9" spans="1:4" ht="15" customHeight="1">
      <c r="A9" s="3" t="s">
        <v>17</v>
      </c>
      <c r="B9" s="3" t="s">
        <v>18</v>
      </c>
      <c r="C9" s="3" t="s">
        <v>7</v>
      </c>
      <c r="D9" s="4">
        <v>5</v>
      </c>
    </row>
    <row r="10" spans="1:4" ht="15" customHeight="1">
      <c r="A10" s="3" t="s">
        <v>19</v>
      </c>
      <c r="B10" s="3" t="s">
        <v>20</v>
      </c>
      <c r="C10" s="3" t="s">
        <v>7</v>
      </c>
      <c r="D10" s="4">
        <v>4</v>
      </c>
    </row>
    <row r="11" spans="1:4" ht="15" customHeight="1">
      <c r="A11" s="3" t="s">
        <v>21</v>
      </c>
      <c r="B11" s="3" t="s">
        <v>22</v>
      </c>
      <c r="C11" s="3" t="s">
        <v>7</v>
      </c>
      <c r="D11" s="4">
        <v>4</v>
      </c>
    </row>
    <row r="12" spans="1:4" ht="15" customHeight="1">
      <c r="A12" s="3" t="s">
        <v>23</v>
      </c>
      <c r="B12" s="3" t="s">
        <v>24</v>
      </c>
      <c r="C12" s="3" t="s">
        <v>7</v>
      </c>
      <c r="D12" s="4">
        <v>4</v>
      </c>
    </row>
    <row r="13" spans="1:4" ht="15" customHeight="1">
      <c r="A13" s="3" t="s">
        <v>25</v>
      </c>
      <c r="B13" s="3" t="s">
        <v>26</v>
      </c>
      <c r="C13" s="3" t="s">
        <v>7</v>
      </c>
      <c r="D13" s="4">
        <v>7</v>
      </c>
    </row>
    <row r="16" spans="1:4" ht="15" customHeight="1">
      <c r="A16" s="84" t="s">
        <v>27</v>
      </c>
      <c r="B16" s="84"/>
      <c r="C16" s="84"/>
      <c r="D16" s="84"/>
    </row>
    <row r="17" spans="1:4" ht="15" customHeight="1">
      <c r="A17" s="5" t="s">
        <v>28</v>
      </c>
      <c r="B17" s="2" t="s">
        <v>29</v>
      </c>
      <c r="C17" s="2" t="s">
        <v>30</v>
      </c>
      <c r="D17" s="2" t="s">
        <v>31</v>
      </c>
    </row>
    <row r="18" spans="1:4" ht="15" customHeight="1">
      <c r="A18" s="6" t="s">
        <v>32</v>
      </c>
      <c r="B18" s="4" t="s">
        <v>33</v>
      </c>
      <c r="C18" s="4" t="s">
        <v>34</v>
      </c>
      <c r="D18" s="4" t="s">
        <v>35</v>
      </c>
    </row>
    <row r="21" spans="1:4" ht="15.75" customHeight="1"/>
    <row r="22" spans="1:4" ht="15.75" customHeight="1"/>
    <row r="23" spans="1:4" ht="15.75" customHeight="1"/>
    <row r="24" spans="1:4" ht="15.75" customHeight="1"/>
    <row r="25" spans="1:4" ht="15.75" customHeight="1"/>
    <row r="26" spans="1:4" ht="15.75" customHeight="1"/>
    <row r="27" spans="1:4" ht="15.75" customHeight="1"/>
    <row r="28" spans="1:4" ht="15.75" customHeight="1"/>
    <row r="29" spans="1:4" ht="15.75" customHeight="1"/>
    <row r="30" spans="1:4" ht="15.75" customHeight="1"/>
    <row r="31" spans="1:4" ht="15.75" customHeight="1"/>
    <row r="32" spans="1: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C1"/>
    <mergeCell ref="A16:D1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showGridLines="0" zoomScaleNormal="100" workbookViewId="0">
      <selection activeCell="F30" sqref="F30"/>
    </sheetView>
  </sheetViews>
  <sheetFormatPr defaultColWidth="14.42578125" defaultRowHeight="15"/>
  <cols>
    <col min="1" max="1" width="30.7109375" style="1" customWidth="1"/>
    <col min="2" max="2" width="13.7109375" style="1" customWidth="1"/>
    <col min="3" max="3" width="14.140625" style="1" customWidth="1"/>
    <col min="4" max="4" width="11.28515625" style="1" customWidth="1"/>
    <col min="5" max="5" width="17" style="1" customWidth="1"/>
    <col min="6" max="6" width="12" style="1" customWidth="1"/>
    <col min="7" max="7" width="19" style="1" customWidth="1"/>
    <col min="8" max="8" width="14" style="1" customWidth="1"/>
    <col min="9" max="9" width="16" style="1" customWidth="1"/>
    <col min="10" max="10" width="11" style="1" customWidth="1"/>
    <col min="11" max="11" width="22" style="1" customWidth="1"/>
    <col min="12" max="12" width="42.42578125" style="1" customWidth="1"/>
    <col min="13" max="13" width="20" style="1" customWidth="1"/>
    <col min="14" max="14" width="11" style="1" customWidth="1"/>
    <col min="15" max="15" width="12" style="1" customWidth="1"/>
    <col min="16" max="16" width="11" style="1" customWidth="1"/>
    <col min="17" max="26" width="8.7109375" style="1" customWidth="1"/>
  </cols>
  <sheetData>
    <row r="1" spans="1:16" ht="17.25" customHeight="1">
      <c r="A1" s="112" t="s">
        <v>144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</row>
    <row r="2" spans="1:16" ht="15" customHeight="1">
      <c r="A2" s="86" t="s">
        <v>36</v>
      </c>
      <c r="B2" s="86"/>
      <c r="C2" s="86"/>
      <c r="D2" s="7">
        <v>2026</v>
      </c>
    </row>
    <row r="3" spans="1:16" ht="15" customHeight="1"/>
    <row r="4" spans="1:16" ht="30" customHeight="1">
      <c r="A4" s="8" t="s">
        <v>37</v>
      </c>
      <c r="B4" s="8" t="s">
        <v>38</v>
      </c>
      <c r="C4" s="8" t="s">
        <v>1</v>
      </c>
      <c r="D4" s="8" t="s">
        <v>39</v>
      </c>
      <c r="E4" s="8" t="s">
        <v>40</v>
      </c>
      <c r="F4" s="8" t="s">
        <v>41</v>
      </c>
      <c r="G4" s="8" t="s">
        <v>42</v>
      </c>
      <c r="H4" s="8" t="s">
        <v>43</v>
      </c>
      <c r="I4" s="8" t="s">
        <v>44</v>
      </c>
      <c r="J4" s="8" t="s">
        <v>45</v>
      </c>
      <c r="K4" s="8" t="s">
        <v>46</v>
      </c>
      <c r="L4" s="8" t="s">
        <v>47</v>
      </c>
      <c r="M4" s="8" t="s">
        <v>48</v>
      </c>
      <c r="N4" s="8" t="s">
        <v>49</v>
      </c>
      <c r="O4" s="8" t="s">
        <v>50</v>
      </c>
      <c r="P4" s="8" t="s">
        <v>51</v>
      </c>
    </row>
    <row r="5" spans="1:16" ht="15" customHeight="1">
      <c r="A5" s="4">
        <v>1</v>
      </c>
      <c r="B5" s="9" t="s">
        <v>52</v>
      </c>
      <c r="C5" s="4" t="s">
        <v>5</v>
      </c>
      <c r="D5" s="4">
        <v>1</v>
      </c>
      <c r="E5" s="10" t="str">
        <f>IFERROR(VLOOKUP(C5,'Master Kode BMN'!$A$4:$C$13,2,FALSE())," ")</f>
        <v>Lemari Besi</v>
      </c>
      <c r="F5" s="4">
        <v>2016</v>
      </c>
      <c r="G5" s="4" t="s">
        <v>29</v>
      </c>
      <c r="H5" s="10" t="str">
        <f>IFERROR(HLOOKUP(G5,'Master Kode BMN'!$B$17:$D$18,2,FALSE())," ")</f>
        <v>Baik</v>
      </c>
      <c r="I5" s="11">
        <v>3500000</v>
      </c>
      <c r="J5" s="12">
        <f t="shared" ref="J5:J29" si="0">$D$2-F5</f>
        <v>10</v>
      </c>
      <c r="K5" s="10" t="str">
        <f t="shared" ref="K5:K29" si="1">IF(J5&lt;=2,$L$33,IF(J5&lt;=5,$L$34,IF(J5&lt;=10,$L$35,IF(J5&gt;10,$L$36))))</f>
        <v>Lama</v>
      </c>
      <c r="L5" s="10" t="str">
        <f t="shared" ref="L5:L29" si="2">CONCATENATE(C5," - ", E5," - ","No.",RIGHT(M5,3))</f>
        <v>3.05.01.04.001 - Lemari Besi - No.001</v>
      </c>
      <c r="M5" s="10" t="str">
        <f t="shared" ref="M5:M29" si="3">TRIM(B5)</f>
        <v>3201-2016-00001</v>
      </c>
      <c r="N5" s="10" t="str">
        <f t="shared" ref="N5:N29" si="4">LEFT(M5,4)</f>
        <v>3201</v>
      </c>
      <c r="O5" s="10" t="str">
        <f t="shared" ref="O5:O29" si="5">MID(M5,6,4)</f>
        <v>2016</v>
      </c>
      <c r="P5" s="10" t="str">
        <f t="shared" ref="P5:P29" si="6">RIGHT(M5,5)</f>
        <v>00001</v>
      </c>
    </row>
    <row r="6" spans="1:16" ht="15" customHeight="1">
      <c r="A6" s="4">
        <v>2</v>
      </c>
      <c r="B6" s="9" t="s">
        <v>53</v>
      </c>
      <c r="C6" s="4" t="s">
        <v>8</v>
      </c>
      <c r="D6" s="4">
        <v>2</v>
      </c>
      <c r="E6" s="10" t="str">
        <f>IFERROR(VLOOKUP(C6,'Master Kode BMN'!$A$4:$C$13,2,FALSE())," ")</f>
        <v>Lemari Kayu</v>
      </c>
      <c r="F6" s="4">
        <v>2017</v>
      </c>
      <c r="G6" s="4" t="s">
        <v>29</v>
      </c>
      <c r="H6" s="10" t="str">
        <f>IFERROR(HLOOKUP(G6,'Master Kode BMN'!$B$17:$D$18,2,FALSE())," ")</f>
        <v>Baik</v>
      </c>
      <c r="I6" s="11">
        <v>2765000</v>
      </c>
      <c r="J6" s="12">
        <f t="shared" si="0"/>
        <v>9</v>
      </c>
      <c r="K6" s="10" t="str">
        <f t="shared" si="1"/>
        <v>Lama</v>
      </c>
      <c r="L6" s="10" t="str">
        <f t="shared" si="2"/>
        <v>3.05.01.04.003 - Lemari Kayu - No.002</v>
      </c>
      <c r="M6" s="10" t="str">
        <f t="shared" si="3"/>
        <v>3201-2017-	00002</v>
      </c>
      <c r="N6" s="10" t="str">
        <f t="shared" si="4"/>
        <v>3201</v>
      </c>
      <c r="O6" s="10" t="str">
        <f t="shared" si="5"/>
        <v>2017</v>
      </c>
      <c r="P6" s="10" t="str">
        <f t="shared" si="6"/>
        <v>00002</v>
      </c>
    </row>
    <row r="7" spans="1:16" ht="15" customHeight="1">
      <c r="A7" s="4">
        <v>3</v>
      </c>
      <c r="B7" s="9" t="s">
        <v>54</v>
      </c>
      <c r="C7" s="4" t="s">
        <v>10</v>
      </c>
      <c r="D7" s="4">
        <v>3</v>
      </c>
      <c r="E7" s="10" t="str">
        <f>IFERROR(VLOOKUP(C7,'Master Kode BMN'!$A$4:$C$13,2,FALSE())," ")</f>
        <v>Meja Kerja Kayu</v>
      </c>
      <c r="F7" s="4">
        <v>2018</v>
      </c>
      <c r="G7" s="4" t="s">
        <v>30</v>
      </c>
      <c r="H7" s="10" t="str">
        <f>IFERROR(HLOOKUP(G7,'Master Kode BMN'!$B$17:$D$18,2,FALSE())," ")</f>
        <v>Rusak Ringan</v>
      </c>
      <c r="I7" s="11">
        <v>1830000</v>
      </c>
      <c r="J7" s="12">
        <f t="shared" si="0"/>
        <v>8</v>
      </c>
      <c r="K7" s="10" t="str">
        <f t="shared" si="1"/>
        <v>Lama</v>
      </c>
      <c r="L7" s="10" t="str">
        <f t="shared" si="2"/>
        <v>3.05.02.01.001 - Meja Kerja Kayu - No.003</v>
      </c>
      <c r="M7" s="10" t="str">
        <f t="shared" si="3"/>
        <v>3201-2018-00003</v>
      </c>
      <c r="N7" s="10" t="str">
        <f t="shared" si="4"/>
        <v>3201</v>
      </c>
      <c r="O7" s="10" t="str">
        <f t="shared" si="5"/>
        <v>2018</v>
      </c>
      <c r="P7" s="10" t="str">
        <f t="shared" si="6"/>
        <v>00003</v>
      </c>
    </row>
    <row r="8" spans="1:16" ht="15" customHeight="1">
      <c r="A8" s="4">
        <v>4</v>
      </c>
      <c r="B8" s="9" t="s">
        <v>55</v>
      </c>
      <c r="C8" s="4" t="s">
        <v>13</v>
      </c>
      <c r="D8" s="4">
        <v>4</v>
      </c>
      <c r="E8" s="10" t="str">
        <f>IFERROR(VLOOKUP(C8,'Master Kode BMN'!$A$4:$C$13,2,FALSE())," ")</f>
        <v>Kursi Kerja</v>
      </c>
      <c r="F8" s="4">
        <v>2018</v>
      </c>
      <c r="G8" s="4" t="s">
        <v>29</v>
      </c>
      <c r="H8" s="10" t="str">
        <f>IFERROR(HLOOKUP(G8,'Master Kode BMN'!$B$17:$D$18,2,FALSE())," ")</f>
        <v>Baik</v>
      </c>
      <c r="I8" s="11">
        <v>995000</v>
      </c>
      <c r="J8" s="12">
        <f t="shared" si="0"/>
        <v>8</v>
      </c>
      <c r="K8" s="10" t="str">
        <f t="shared" si="1"/>
        <v>Lama</v>
      </c>
      <c r="L8" s="10" t="str">
        <f t="shared" si="2"/>
        <v>3.05.02.01.004 - Kursi Kerja - No.004</v>
      </c>
      <c r="M8" s="10" t="str">
        <f t="shared" si="3"/>
        <v>3201-2018-00004</v>
      </c>
      <c r="N8" s="10" t="str">
        <f t="shared" si="4"/>
        <v>3201</v>
      </c>
      <c r="O8" s="10" t="str">
        <f t="shared" si="5"/>
        <v>2018</v>
      </c>
      <c r="P8" s="10" t="str">
        <f t="shared" si="6"/>
        <v>00004</v>
      </c>
    </row>
    <row r="9" spans="1:16" ht="15" customHeight="1">
      <c r="A9" s="4">
        <v>5</v>
      </c>
      <c r="B9" s="9" t="s">
        <v>56</v>
      </c>
      <c r="C9" s="4" t="s">
        <v>15</v>
      </c>
      <c r="D9" s="4">
        <v>5</v>
      </c>
      <c r="E9" s="10" t="str">
        <f>IFERROR(VLOOKUP(C9,'Master Kode BMN'!$A$4:$C$13,2,FALSE())," ")</f>
        <v>AC Split</v>
      </c>
      <c r="F9" s="4">
        <v>2019</v>
      </c>
      <c r="G9" s="4" t="s">
        <v>31</v>
      </c>
      <c r="H9" s="10" t="str">
        <f>IFERROR(HLOOKUP(G9,'Master Kode BMN'!$B$17:$D$18,2,FALSE())," ")</f>
        <v>Rusak Berat</v>
      </c>
      <c r="I9" s="11">
        <v>4260000</v>
      </c>
      <c r="J9" s="12">
        <f t="shared" si="0"/>
        <v>7</v>
      </c>
      <c r="K9" s="10" t="str">
        <f t="shared" si="1"/>
        <v>Lama</v>
      </c>
      <c r="L9" s="10" t="str">
        <f t="shared" si="2"/>
        <v>3.05.02.03.002 - AC Split - No.005</v>
      </c>
      <c r="M9" s="10" t="str">
        <f t="shared" si="3"/>
        <v>3201-2019-00005</v>
      </c>
      <c r="N9" s="10" t="str">
        <f t="shared" si="4"/>
        <v>3201</v>
      </c>
      <c r="O9" s="10" t="str">
        <f t="shared" si="5"/>
        <v>2019</v>
      </c>
      <c r="P9" s="10" t="str">
        <f t="shared" si="6"/>
        <v>00005</v>
      </c>
    </row>
    <row r="10" spans="1:16" ht="15" customHeight="1">
      <c r="A10" s="4">
        <v>6</v>
      </c>
      <c r="B10" s="9" t="s">
        <v>57</v>
      </c>
      <c r="C10" s="4" t="s">
        <v>17</v>
      </c>
      <c r="D10" s="4">
        <v>6</v>
      </c>
      <c r="E10" s="10" t="str">
        <f>IFERROR(VLOOKUP(C10,'Master Kode BMN'!$A$4:$C$13,2,FALSE())," ")</f>
        <v>Televisi</v>
      </c>
      <c r="F10" s="4">
        <v>2019</v>
      </c>
      <c r="G10" s="4" t="s">
        <v>29</v>
      </c>
      <c r="H10" s="10" t="str">
        <f>IFERROR(HLOOKUP(G10,'Master Kode BMN'!$B$17:$D$18,2,FALSE())," ")</f>
        <v>Baik</v>
      </c>
      <c r="I10" s="11">
        <v>3175000</v>
      </c>
      <c r="J10" s="12">
        <f t="shared" si="0"/>
        <v>7</v>
      </c>
      <c r="K10" s="10" t="str">
        <f t="shared" si="1"/>
        <v>Lama</v>
      </c>
      <c r="L10" s="10" t="str">
        <f t="shared" si="2"/>
        <v>3.05.02.04.001 - Televisi - No.006</v>
      </c>
      <c r="M10" s="10" t="str">
        <f t="shared" si="3"/>
        <v>3201-2019-00006</v>
      </c>
      <c r="N10" s="10" t="str">
        <f t="shared" si="4"/>
        <v>3201</v>
      </c>
      <c r="O10" s="10" t="str">
        <f t="shared" si="5"/>
        <v>2019</v>
      </c>
      <c r="P10" s="10" t="str">
        <f t="shared" si="6"/>
        <v>00006</v>
      </c>
    </row>
    <row r="11" spans="1:16" ht="15" customHeight="1">
      <c r="A11" s="4">
        <v>7</v>
      </c>
      <c r="B11" s="9" t="s">
        <v>58</v>
      </c>
      <c r="C11" s="4" t="s">
        <v>19</v>
      </c>
      <c r="D11" s="4">
        <v>7</v>
      </c>
      <c r="E11" s="10" t="str">
        <f>IFERROR(VLOOKUP(C11,'Master Kode BMN'!$A$4:$C$13,2,FALSE())," ")</f>
        <v>Personal Komputer (PC Unit)</v>
      </c>
      <c r="F11" s="4">
        <v>2020</v>
      </c>
      <c r="G11" s="4" t="s">
        <v>30</v>
      </c>
      <c r="H11" s="10" t="str">
        <f>IFERROR(HLOOKUP(G11,'Master Kode BMN'!$B$17:$D$18,2,FALSE())," ")</f>
        <v>Rusak Ringan</v>
      </c>
      <c r="I11" s="11">
        <v>8590000</v>
      </c>
      <c r="J11" s="12">
        <f t="shared" si="0"/>
        <v>6</v>
      </c>
      <c r="K11" s="10" t="str">
        <f t="shared" si="1"/>
        <v>Lama</v>
      </c>
      <c r="L11" s="10" t="str">
        <f t="shared" si="2"/>
        <v>3.05.02.06.008 - Personal Komputer (PC Unit) - No.007</v>
      </c>
      <c r="M11" s="10" t="str">
        <f t="shared" si="3"/>
        <v>3201-2020-	00007</v>
      </c>
      <c r="N11" s="10" t="str">
        <f t="shared" si="4"/>
        <v>3201</v>
      </c>
      <c r="O11" s="10" t="str">
        <f t="shared" si="5"/>
        <v>2020</v>
      </c>
      <c r="P11" s="10" t="str">
        <f t="shared" si="6"/>
        <v>00007</v>
      </c>
    </row>
    <row r="12" spans="1:16" ht="15" customHeight="1">
      <c r="A12" s="4">
        <v>8</v>
      </c>
      <c r="B12" s="9" t="s">
        <v>59</v>
      </c>
      <c r="C12" s="4" t="s">
        <v>21</v>
      </c>
      <c r="D12" s="4">
        <v>8</v>
      </c>
      <c r="E12" s="10" t="str">
        <f>IFERROR(VLOOKUP(C12,'Master Kode BMN'!$A$4:$C$13,2,FALSE())," ")</f>
        <v>Printer</v>
      </c>
      <c r="F12" s="4">
        <v>2020</v>
      </c>
      <c r="G12" s="4" t="s">
        <v>29</v>
      </c>
      <c r="H12" s="10" t="str">
        <f>IFERROR(HLOOKUP(G12,'Master Kode BMN'!$B$17:$D$18,2,FALSE())," ")</f>
        <v>Baik</v>
      </c>
      <c r="I12" s="11">
        <v>2405000</v>
      </c>
      <c r="J12" s="12">
        <f t="shared" si="0"/>
        <v>6</v>
      </c>
      <c r="K12" s="10" t="str">
        <f t="shared" si="1"/>
        <v>Lama</v>
      </c>
      <c r="L12" s="10" t="str">
        <f t="shared" si="2"/>
        <v>3.05.02.06.010 - Printer - No.008</v>
      </c>
      <c r="M12" s="10" t="str">
        <f t="shared" si="3"/>
        <v>3201-2020-00008</v>
      </c>
      <c r="N12" s="10" t="str">
        <f t="shared" si="4"/>
        <v>3201</v>
      </c>
      <c r="O12" s="10" t="str">
        <f t="shared" si="5"/>
        <v>2020</v>
      </c>
      <c r="P12" s="10" t="str">
        <f t="shared" si="6"/>
        <v>00008</v>
      </c>
    </row>
    <row r="13" spans="1:16" ht="15" customHeight="1">
      <c r="A13" s="4">
        <v>9</v>
      </c>
      <c r="B13" s="9" t="s">
        <v>60</v>
      </c>
      <c r="C13" s="4" t="s">
        <v>23</v>
      </c>
      <c r="D13" s="4">
        <v>9</v>
      </c>
      <c r="E13" s="10" t="str">
        <f>IFERROR(VLOOKUP(C13,'Master Kode BMN'!$A$4:$C$13,2,FALSE())," ")</f>
        <v>Laptop</v>
      </c>
      <c r="F13" s="4">
        <v>2020</v>
      </c>
      <c r="G13" s="4" t="s">
        <v>29</v>
      </c>
      <c r="H13" s="10" t="str">
        <f>IFERROR(HLOOKUP(G13,'Master Kode BMN'!$B$17:$D$18,2,FALSE())," ")</f>
        <v>Baik</v>
      </c>
      <c r="I13" s="11">
        <v>12120000</v>
      </c>
      <c r="J13" s="12">
        <f t="shared" si="0"/>
        <v>6</v>
      </c>
      <c r="K13" s="10" t="str">
        <f t="shared" si="1"/>
        <v>Lama</v>
      </c>
      <c r="L13" s="10" t="str">
        <f t="shared" si="2"/>
        <v>3.05.02.06.012 - Laptop - No.009</v>
      </c>
      <c r="M13" s="10" t="str">
        <f t="shared" si="3"/>
        <v>3201-2020-00009</v>
      </c>
      <c r="N13" s="10" t="str">
        <f t="shared" si="4"/>
        <v>3201</v>
      </c>
      <c r="O13" s="10" t="str">
        <f t="shared" si="5"/>
        <v>2020</v>
      </c>
      <c r="P13" s="10" t="str">
        <f t="shared" si="6"/>
        <v>00009</v>
      </c>
    </row>
    <row r="14" spans="1:16" ht="15" customHeight="1">
      <c r="A14" s="4">
        <v>10</v>
      </c>
      <c r="B14" s="9" t="s">
        <v>61</v>
      </c>
      <c r="C14" s="4" t="s">
        <v>25</v>
      </c>
      <c r="D14" s="4">
        <v>10</v>
      </c>
      <c r="E14" s="10" t="str">
        <f>IFERROR(VLOOKUP(C14,'Master Kode BMN'!$A$4:$C$13,2,FALSE())," ")</f>
        <v>Kendaraan Bermotor Roda Dua</v>
      </c>
      <c r="F14" s="4">
        <v>2021</v>
      </c>
      <c r="G14" s="4" t="s">
        <v>31</v>
      </c>
      <c r="H14" s="10" t="str">
        <f>IFERROR(HLOOKUP(G14,'Master Kode BMN'!$B$17:$D$18,2,FALSE())," ")</f>
        <v>Rusak Berat</v>
      </c>
      <c r="I14" s="11">
        <v>18635000</v>
      </c>
      <c r="J14" s="12">
        <f t="shared" si="0"/>
        <v>5</v>
      </c>
      <c r="K14" s="10" t="str">
        <f t="shared" si="1"/>
        <v>Sedang Pakai</v>
      </c>
      <c r="L14" s="10" t="str">
        <f t="shared" si="2"/>
        <v>3.06.01.01.002 - Kendaraan Bermotor Roda Dua - No.010</v>
      </c>
      <c r="M14" s="10" t="str">
        <f t="shared" si="3"/>
        <v>3201-2021-00010</v>
      </c>
      <c r="N14" s="10" t="str">
        <f t="shared" si="4"/>
        <v>3201</v>
      </c>
      <c r="O14" s="10" t="str">
        <f t="shared" si="5"/>
        <v>2021</v>
      </c>
      <c r="P14" s="10" t="str">
        <f t="shared" si="6"/>
        <v>00010</v>
      </c>
    </row>
    <row r="15" spans="1:16" ht="15" customHeight="1">
      <c r="A15" s="4">
        <v>11</v>
      </c>
      <c r="B15" s="9" t="s">
        <v>62</v>
      </c>
      <c r="C15" s="4" t="s">
        <v>5</v>
      </c>
      <c r="D15" s="4">
        <v>11</v>
      </c>
      <c r="E15" s="10" t="str">
        <f>IFERROR(VLOOKUP(C15,'Master Kode BMN'!$A$4:$C$13,2,FALSE())," ")</f>
        <v>Lemari Besi</v>
      </c>
      <c r="F15" s="4">
        <v>2021</v>
      </c>
      <c r="G15" s="4" t="s">
        <v>29</v>
      </c>
      <c r="H15" s="10" t="str">
        <f>IFERROR(HLOOKUP(G15,'Master Kode BMN'!$B$17:$D$18,2,FALSE())," ")</f>
        <v>Baik</v>
      </c>
      <c r="I15" s="11">
        <v>3650000</v>
      </c>
      <c r="J15" s="12">
        <f t="shared" si="0"/>
        <v>5</v>
      </c>
      <c r="K15" s="10" t="str">
        <f t="shared" si="1"/>
        <v>Sedang Pakai</v>
      </c>
      <c r="L15" s="10" t="str">
        <f t="shared" si="2"/>
        <v>3.05.01.04.001 - Lemari Besi - No.011</v>
      </c>
      <c r="M15" s="10" t="str">
        <f t="shared" si="3"/>
        <v>3201-2021-	00011</v>
      </c>
      <c r="N15" s="10" t="str">
        <f t="shared" si="4"/>
        <v>3201</v>
      </c>
      <c r="O15" s="10" t="str">
        <f t="shared" si="5"/>
        <v>2021</v>
      </c>
      <c r="P15" s="10" t="str">
        <f t="shared" si="6"/>
        <v>00011</v>
      </c>
    </row>
    <row r="16" spans="1:16" ht="15" customHeight="1">
      <c r="A16" s="4">
        <v>12</v>
      </c>
      <c r="B16" s="9" t="s">
        <v>63</v>
      </c>
      <c r="C16" s="4" t="s">
        <v>8</v>
      </c>
      <c r="D16" s="4">
        <v>12</v>
      </c>
      <c r="E16" s="10" t="str">
        <f>IFERROR(VLOOKUP(C16,'Master Kode BMN'!$A$4:$C$13,2,FALSE())," ")</f>
        <v>Lemari Kayu</v>
      </c>
      <c r="F16" s="4">
        <v>2021</v>
      </c>
      <c r="G16" s="4" t="s">
        <v>30</v>
      </c>
      <c r="H16" s="10" t="str">
        <f>IFERROR(HLOOKUP(G16,'Master Kode BMN'!$B$17:$D$18,2,FALSE())," ")</f>
        <v>Rusak Ringan</v>
      </c>
      <c r="I16" s="11">
        <v>2915000</v>
      </c>
      <c r="J16" s="12">
        <f t="shared" si="0"/>
        <v>5</v>
      </c>
      <c r="K16" s="10" t="str">
        <f t="shared" si="1"/>
        <v>Sedang Pakai</v>
      </c>
      <c r="L16" s="10" t="str">
        <f t="shared" si="2"/>
        <v>3.05.01.04.003 - Lemari Kayu - No.012</v>
      </c>
      <c r="M16" s="10" t="str">
        <f t="shared" si="3"/>
        <v>3201-2021-00012</v>
      </c>
      <c r="N16" s="10" t="str">
        <f t="shared" si="4"/>
        <v>3201</v>
      </c>
      <c r="O16" s="10" t="str">
        <f t="shared" si="5"/>
        <v>2021</v>
      </c>
      <c r="P16" s="10" t="str">
        <f t="shared" si="6"/>
        <v>00012</v>
      </c>
    </row>
    <row r="17" spans="1:16" ht="15" customHeight="1">
      <c r="A17" s="4">
        <v>13</v>
      </c>
      <c r="B17" s="9" t="s">
        <v>64</v>
      </c>
      <c r="C17" s="4" t="s">
        <v>10</v>
      </c>
      <c r="D17" s="4">
        <v>13</v>
      </c>
      <c r="E17" s="10" t="str">
        <f>IFERROR(VLOOKUP(C17,'Master Kode BMN'!$A$4:$C$13,2,FALSE())," ")</f>
        <v>Meja Kerja Kayu</v>
      </c>
      <c r="F17" s="4">
        <v>2022</v>
      </c>
      <c r="G17" s="4" t="s">
        <v>29</v>
      </c>
      <c r="H17" s="10" t="str">
        <f>IFERROR(HLOOKUP(G17,'Master Kode BMN'!$B$17:$D$18,2,FALSE())," ")</f>
        <v>Baik</v>
      </c>
      <c r="I17" s="11">
        <v>1980000</v>
      </c>
      <c r="J17" s="12">
        <f t="shared" si="0"/>
        <v>4</v>
      </c>
      <c r="K17" s="10" t="str">
        <f t="shared" si="1"/>
        <v>Sedang Pakai</v>
      </c>
      <c r="L17" s="10" t="str">
        <f t="shared" si="2"/>
        <v>3.05.02.01.001 - Meja Kerja Kayu - No.013</v>
      </c>
      <c r="M17" s="10" t="str">
        <f t="shared" si="3"/>
        <v>3201-2022-00013</v>
      </c>
      <c r="N17" s="10" t="str">
        <f t="shared" si="4"/>
        <v>3201</v>
      </c>
      <c r="O17" s="10" t="str">
        <f t="shared" si="5"/>
        <v>2022</v>
      </c>
      <c r="P17" s="10" t="str">
        <f t="shared" si="6"/>
        <v>00013</v>
      </c>
    </row>
    <row r="18" spans="1:16" ht="15" customHeight="1">
      <c r="A18" s="4">
        <v>14</v>
      </c>
      <c r="B18" s="9" t="s">
        <v>65</v>
      </c>
      <c r="C18" s="4" t="s">
        <v>13</v>
      </c>
      <c r="D18" s="4">
        <v>14</v>
      </c>
      <c r="E18" s="10" t="str">
        <f>IFERROR(VLOOKUP(C18,'Master Kode BMN'!$A$4:$C$13,2,FALSE())," ")</f>
        <v>Kursi Kerja</v>
      </c>
      <c r="F18" s="4">
        <v>2022</v>
      </c>
      <c r="G18" s="4" t="s">
        <v>29</v>
      </c>
      <c r="H18" s="10" t="str">
        <f>IFERROR(HLOOKUP(G18,'Master Kode BMN'!$B$17:$D$18,2,FALSE())," ")</f>
        <v>Baik</v>
      </c>
      <c r="I18" s="11">
        <v>1145000</v>
      </c>
      <c r="J18" s="12">
        <f t="shared" si="0"/>
        <v>4</v>
      </c>
      <c r="K18" s="10" t="str">
        <f t="shared" si="1"/>
        <v>Sedang Pakai</v>
      </c>
      <c r="L18" s="10" t="str">
        <f t="shared" si="2"/>
        <v>3.05.02.01.004 - Kursi Kerja - No.014</v>
      </c>
      <c r="M18" s="10" t="str">
        <f t="shared" si="3"/>
        <v>3201-2022-00014</v>
      </c>
      <c r="N18" s="10" t="str">
        <f t="shared" si="4"/>
        <v>3201</v>
      </c>
      <c r="O18" s="10" t="str">
        <f t="shared" si="5"/>
        <v>2022</v>
      </c>
      <c r="P18" s="10" t="str">
        <f t="shared" si="6"/>
        <v>00014</v>
      </c>
    </row>
    <row r="19" spans="1:16" ht="15" customHeight="1">
      <c r="A19" s="4">
        <v>15</v>
      </c>
      <c r="B19" s="9" t="s">
        <v>66</v>
      </c>
      <c r="C19" s="4" t="s">
        <v>15</v>
      </c>
      <c r="D19" s="4">
        <v>15</v>
      </c>
      <c r="E19" s="10" t="str">
        <f>IFERROR(VLOOKUP(C19,'Master Kode BMN'!$A$4:$C$13,2,FALSE())," ")</f>
        <v>AC Split</v>
      </c>
      <c r="F19" s="4">
        <v>2022</v>
      </c>
      <c r="G19" s="4" t="s">
        <v>31</v>
      </c>
      <c r="H19" s="10" t="str">
        <f>IFERROR(HLOOKUP(G19,'Master Kode BMN'!$B$17:$D$18,2,FALSE())," ")</f>
        <v>Rusak Berat</v>
      </c>
      <c r="I19" s="11">
        <v>4410000</v>
      </c>
      <c r="J19" s="12">
        <f t="shared" si="0"/>
        <v>4</v>
      </c>
      <c r="K19" s="10" t="str">
        <f t="shared" si="1"/>
        <v>Sedang Pakai</v>
      </c>
      <c r="L19" s="10" t="str">
        <f t="shared" si="2"/>
        <v>3.05.02.03.002 - AC Split - No.015</v>
      </c>
      <c r="M19" s="10" t="str">
        <f t="shared" si="3"/>
        <v>3201-2022-	00015</v>
      </c>
      <c r="N19" s="10" t="str">
        <f t="shared" si="4"/>
        <v>3201</v>
      </c>
      <c r="O19" s="10" t="str">
        <f t="shared" si="5"/>
        <v>2022</v>
      </c>
      <c r="P19" s="10" t="str">
        <f t="shared" si="6"/>
        <v>00015</v>
      </c>
    </row>
    <row r="20" spans="1:16" ht="15" customHeight="1">
      <c r="A20" s="4">
        <v>16</v>
      </c>
      <c r="B20" s="9" t="s">
        <v>67</v>
      </c>
      <c r="C20" s="4" t="s">
        <v>17</v>
      </c>
      <c r="D20" s="4">
        <v>16</v>
      </c>
      <c r="E20" s="10" t="str">
        <f>IFERROR(VLOOKUP(C20,'Master Kode BMN'!$A$4:$C$13,2,FALSE())," ")</f>
        <v>Televisi</v>
      </c>
      <c r="F20" s="4">
        <v>2023</v>
      </c>
      <c r="G20" s="4" t="s">
        <v>29</v>
      </c>
      <c r="H20" s="10" t="str">
        <f>IFERROR(HLOOKUP(G20,'Master Kode BMN'!$B$17:$D$18,2,FALSE())," ")</f>
        <v>Baik</v>
      </c>
      <c r="I20" s="11">
        <v>3325000</v>
      </c>
      <c r="J20" s="12">
        <f t="shared" si="0"/>
        <v>3</v>
      </c>
      <c r="K20" s="10" t="str">
        <f t="shared" si="1"/>
        <v>Sedang Pakai</v>
      </c>
      <c r="L20" s="10" t="str">
        <f t="shared" si="2"/>
        <v>3.05.02.04.001 - Televisi - No.016</v>
      </c>
      <c r="M20" s="10" t="str">
        <f t="shared" si="3"/>
        <v>3201-2023-00016</v>
      </c>
      <c r="N20" s="10" t="str">
        <f t="shared" si="4"/>
        <v>3201</v>
      </c>
      <c r="O20" s="10" t="str">
        <f t="shared" si="5"/>
        <v>2023</v>
      </c>
      <c r="P20" s="10" t="str">
        <f t="shared" si="6"/>
        <v>00016</v>
      </c>
    </row>
    <row r="21" spans="1:16" ht="15.75" customHeight="1">
      <c r="A21" s="4">
        <v>17</v>
      </c>
      <c r="B21" s="9" t="s">
        <v>68</v>
      </c>
      <c r="C21" s="4" t="s">
        <v>19</v>
      </c>
      <c r="D21" s="4">
        <v>17</v>
      </c>
      <c r="E21" s="10" t="str">
        <f>IFERROR(VLOOKUP(C21,'Master Kode BMN'!$A$4:$C$13,2,FALSE())," ")</f>
        <v>Personal Komputer (PC Unit)</v>
      </c>
      <c r="F21" s="4">
        <v>2023</v>
      </c>
      <c r="G21" s="4" t="s">
        <v>29</v>
      </c>
      <c r="H21" s="10" t="str">
        <f>IFERROR(HLOOKUP(G21,'Master Kode BMN'!$B$17:$D$18,2,FALSE())," ")</f>
        <v>Baik</v>
      </c>
      <c r="I21" s="11">
        <v>8740000</v>
      </c>
      <c r="J21" s="12">
        <f t="shared" si="0"/>
        <v>3</v>
      </c>
      <c r="K21" s="10" t="str">
        <f t="shared" si="1"/>
        <v>Sedang Pakai</v>
      </c>
      <c r="L21" s="10" t="str">
        <f t="shared" si="2"/>
        <v>3.05.02.06.008 - Personal Komputer (PC Unit) - No.017</v>
      </c>
      <c r="M21" s="10" t="str">
        <f t="shared" si="3"/>
        <v>3201-2023-00017</v>
      </c>
      <c r="N21" s="10" t="str">
        <f t="shared" si="4"/>
        <v>3201</v>
      </c>
      <c r="O21" s="10" t="str">
        <f t="shared" si="5"/>
        <v>2023</v>
      </c>
      <c r="P21" s="10" t="str">
        <f t="shared" si="6"/>
        <v>00017</v>
      </c>
    </row>
    <row r="22" spans="1:16" ht="15.75" customHeight="1">
      <c r="A22" s="4">
        <v>18</v>
      </c>
      <c r="B22" s="9" t="s">
        <v>69</v>
      </c>
      <c r="C22" s="4" t="s">
        <v>21</v>
      </c>
      <c r="D22" s="4">
        <v>18</v>
      </c>
      <c r="E22" s="10" t="str">
        <f>IFERROR(VLOOKUP(C22,'Master Kode BMN'!$A$4:$C$13,2,FALSE())," ")</f>
        <v>Printer</v>
      </c>
      <c r="F22" s="4">
        <v>2023</v>
      </c>
      <c r="G22" s="4" t="s">
        <v>30</v>
      </c>
      <c r="H22" s="10" t="str">
        <f>IFERROR(HLOOKUP(G22,'Master Kode BMN'!$B$17:$D$18,2,FALSE())," ")</f>
        <v>Rusak Ringan</v>
      </c>
      <c r="I22" s="11">
        <v>2555000</v>
      </c>
      <c r="J22" s="12">
        <f t="shared" si="0"/>
        <v>3</v>
      </c>
      <c r="K22" s="10" t="str">
        <f t="shared" si="1"/>
        <v>Sedang Pakai</v>
      </c>
      <c r="L22" s="10" t="str">
        <f t="shared" si="2"/>
        <v>3.05.02.06.010 - Printer - No.018</v>
      </c>
      <c r="M22" s="10" t="str">
        <f t="shared" si="3"/>
        <v>3201-2023-00018</v>
      </c>
      <c r="N22" s="10" t="str">
        <f t="shared" si="4"/>
        <v>3201</v>
      </c>
      <c r="O22" s="10" t="str">
        <f t="shared" si="5"/>
        <v>2023</v>
      </c>
      <c r="P22" s="10" t="str">
        <f t="shared" si="6"/>
        <v>00018</v>
      </c>
    </row>
    <row r="23" spans="1:16" ht="15.75" customHeight="1">
      <c r="A23" s="4">
        <v>19</v>
      </c>
      <c r="B23" s="9" t="s">
        <v>70</v>
      </c>
      <c r="C23" s="4" t="s">
        <v>23</v>
      </c>
      <c r="D23" s="4">
        <v>19</v>
      </c>
      <c r="E23" s="10" t="str">
        <f>IFERROR(VLOOKUP(C23,'Master Kode BMN'!$A$4:$C$13,2,FALSE())," ")</f>
        <v>Laptop</v>
      </c>
      <c r="F23" s="4">
        <v>2023</v>
      </c>
      <c r="G23" s="4" t="s">
        <v>29</v>
      </c>
      <c r="H23" s="10" t="str">
        <f>IFERROR(HLOOKUP(G23,'Master Kode BMN'!$B$17:$D$18,2,FALSE())," ")</f>
        <v>Baik</v>
      </c>
      <c r="I23" s="11">
        <v>12270000</v>
      </c>
      <c r="J23" s="12">
        <f t="shared" si="0"/>
        <v>3</v>
      </c>
      <c r="K23" s="10" t="str">
        <f t="shared" si="1"/>
        <v>Sedang Pakai</v>
      </c>
      <c r="L23" s="10" t="str">
        <f t="shared" si="2"/>
        <v>3.05.02.06.012 - Laptop - No.019</v>
      </c>
      <c r="M23" s="10" t="str">
        <f t="shared" si="3"/>
        <v>3201-2023-	00019</v>
      </c>
      <c r="N23" s="10" t="str">
        <f t="shared" si="4"/>
        <v>3201</v>
      </c>
      <c r="O23" s="10" t="str">
        <f t="shared" si="5"/>
        <v>2023</v>
      </c>
      <c r="P23" s="10" t="str">
        <f t="shared" si="6"/>
        <v>00019</v>
      </c>
    </row>
    <row r="24" spans="1:16" ht="15.75" customHeight="1">
      <c r="A24" s="4">
        <v>20</v>
      </c>
      <c r="B24" s="9" t="s">
        <v>71</v>
      </c>
      <c r="C24" s="4" t="s">
        <v>25</v>
      </c>
      <c r="D24" s="4">
        <v>20</v>
      </c>
      <c r="E24" s="10" t="str">
        <f>IFERROR(VLOOKUP(C24,'Master Kode BMN'!$A$4:$C$13,2,FALSE())," ")</f>
        <v>Kendaraan Bermotor Roda Dua</v>
      </c>
      <c r="F24" s="4">
        <v>2024</v>
      </c>
      <c r="G24" s="4" t="s">
        <v>31</v>
      </c>
      <c r="H24" s="10" t="str">
        <f>IFERROR(HLOOKUP(G24,'Master Kode BMN'!$B$17:$D$18,2,FALSE())," ")</f>
        <v>Rusak Berat</v>
      </c>
      <c r="I24" s="11">
        <v>18785000</v>
      </c>
      <c r="J24" s="12">
        <f t="shared" si="0"/>
        <v>2</v>
      </c>
      <c r="K24" s="10" t="str">
        <f t="shared" si="1"/>
        <v>Baru</v>
      </c>
      <c r="L24" s="10" t="str">
        <f t="shared" si="2"/>
        <v>3.06.01.01.002 - Kendaraan Bermotor Roda Dua - No.020</v>
      </c>
      <c r="M24" s="10" t="str">
        <f t="shared" si="3"/>
        <v>3201-2024-00020</v>
      </c>
      <c r="N24" s="10" t="str">
        <f t="shared" si="4"/>
        <v>3201</v>
      </c>
      <c r="O24" s="10" t="str">
        <f t="shared" si="5"/>
        <v>2024</v>
      </c>
      <c r="P24" s="10" t="str">
        <f t="shared" si="6"/>
        <v>00020</v>
      </c>
    </row>
    <row r="25" spans="1:16" ht="15.75" customHeight="1">
      <c r="A25" s="4">
        <v>21</v>
      </c>
      <c r="B25" s="9" t="s">
        <v>72</v>
      </c>
      <c r="C25" s="4" t="s">
        <v>5</v>
      </c>
      <c r="D25" s="4">
        <v>21</v>
      </c>
      <c r="E25" s="10" t="str">
        <f>IFERROR(VLOOKUP(C25,'Master Kode BMN'!$A$4:$C$13,2,FALSE())," ")</f>
        <v>Lemari Besi</v>
      </c>
      <c r="F25" s="4">
        <v>2024</v>
      </c>
      <c r="G25" s="4" t="s">
        <v>29</v>
      </c>
      <c r="H25" s="10" t="str">
        <f>IFERROR(HLOOKUP(G25,'Master Kode BMN'!$B$17:$D$18,2,FALSE())," ")</f>
        <v>Baik</v>
      </c>
      <c r="I25" s="11">
        <v>3800000</v>
      </c>
      <c r="J25" s="12">
        <f t="shared" si="0"/>
        <v>2</v>
      </c>
      <c r="K25" s="10" t="str">
        <f t="shared" si="1"/>
        <v>Baru</v>
      </c>
      <c r="L25" s="10" t="str">
        <f t="shared" si="2"/>
        <v>3.05.01.04.001 - Lemari Besi - No.021</v>
      </c>
      <c r="M25" s="10" t="str">
        <f t="shared" si="3"/>
        <v>3201-2024-00021</v>
      </c>
      <c r="N25" s="10" t="str">
        <f t="shared" si="4"/>
        <v>3201</v>
      </c>
      <c r="O25" s="10" t="str">
        <f t="shared" si="5"/>
        <v>2024</v>
      </c>
      <c r="P25" s="10" t="str">
        <f t="shared" si="6"/>
        <v>00021</v>
      </c>
    </row>
    <row r="26" spans="1:16" ht="15.75" customHeight="1">
      <c r="A26" s="4">
        <v>22</v>
      </c>
      <c r="B26" s="9" t="s">
        <v>73</v>
      </c>
      <c r="C26" s="4" t="s">
        <v>8</v>
      </c>
      <c r="D26" s="4">
        <v>22</v>
      </c>
      <c r="E26" s="10" t="str">
        <f>IFERROR(VLOOKUP(C26,'Master Kode BMN'!$A$4:$C$13,2,FALSE())," ")</f>
        <v>Lemari Kayu</v>
      </c>
      <c r="F26" s="4">
        <v>2024</v>
      </c>
      <c r="G26" s="4" t="s">
        <v>29</v>
      </c>
      <c r="H26" s="10" t="str">
        <f>IFERROR(HLOOKUP(G26,'Master Kode BMN'!$B$17:$D$18,2,FALSE())," ")</f>
        <v>Baik</v>
      </c>
      <c r="I26" s="11">
        <v>3065000</v>
      </c>
      <c r="J26" s="12">
        <f t="shared" si="0"/>
        <v>2</v>
      </c>
      <c r="K26" s="10" t="str">
        <f t="shared" si="1"/>
        <v>Baru</v>
      </c>
      <c r="L26" s="10" t="str">
        <f t="shared" si="2"/>
        <v>3.05.01.04.003 - Lemari Kayu - No.022</v>
      </c>
      <c r="M26" s="10" t="str">
        <f t="shared" si="3"/>
        <v>3201-2024-00022</v>
      </c>
      <c r="N26" s="10" t="str">
        <f t="shared" si="4"/>
        <v>3201</v>
      </c>
      <c r="O26" s="10" t="str">
        <f t="shared" si="5"/>
        <v>2024</v>
      </c>
      <c r="P26" s="10" t="str">
        <f t="shared" si="6"/>
        <v>00022</v>
      </c>
    </row>
    <row r="27" spans="1:16" ht="15.75" customHeight="1">
      <c r="A27" s="4">
        <v>23</v>
      </c>
      <c r="B27" s="9" t="s">
        <v>74</v>
      </c>
      <c r="C27" s="4" t="s">
        <v>10</v>
      </c>
      <c r="D27" s="4">
        <v>23</v>
      </c>
      <c r="E27" s="10" t="str">
        <f>IFERROR(VLOOKUP(C27,'Master Kode BMN'!$A$4:$C$13,2,FALSE())," ")</f>
        <v>Meja Kerja Kayu</v>
      </c>
      <c r="F27" s="4">
        <v>2024</v>
      </c>
      <c r="G27" s="4" t="s">
        <v>30</v>
      </c>
      <c r="H27" s="10" t="str">
        <f>IFERROR(HLOOKUP(G27,'Master Kode BMN'!$B$17:$D$18,2,FALSE())," ")</f>
        <v>Rusak Ringan</v>
      </c>
      <c r="I27" s="11">
        <v>2130000</v>
      </c>
      <c r="J27" s="12">
        <f t="shared" si="0"/>
        <v>2</v>
      </c>
      <c r="K27" s="10" t="str">
        <f t="shared" si="1"/>
        <v>Baru</v>
      </c>
      <c r="L27" s="10" t="str">
        <f t="shared" si="2"/>
        <v>3.05.02.01.001 - Meja Kerja Kayu - No.023</v>
      </c>
      <c r="M27" s="10" t="str">
        <f t="shared" si="3"/>
        <v>3201-2024-	00023</v>
      </c>
      <c r="N27" s="10" t="str">
        <f t="shared" si="4"/>
        <v>3201</v>
      </c>
      <c r="O27" s="10" t="str">
        <f t="shared" si="5"/>
        <v>2024</v>
      </c>
      <c r="P27" s="10" t="str">
        <f t="shared" si="6"/>
        <v>00023</v>
      </c>
    </row>
    <row r="28" spans="1:16" ht="15.75" customHeight="1">
      <c r="A28" s="4">
        <v>24</v>
      </c>
      <c r="B28" s="9" t="s">
        <v>75</v>
      </c>
      <c r="C28" s="4" t="s">
        <v>13</v>
      </c>
      <c r="D28" s="4">
        <v>24</v>
      </c>
      <c r="E28" s="10" t="str">
        <f>IFERROR(VLOOKUP(C28,'Master Kode BMN'!$A$4:$C$13,2,FALSE())," ")</f>
        <v>Kursi Kerja</v>
      </c>
      <c r="F28" s="4">
        <v>2025</v>
      </c>
      <c r="G28" s="4" t="s">
        <v>29</v>
      </c>
      <c r="H28" s="10" t="str">
        <f>IFERROR(HLOOKUP(G28,'Master Kode BMN'!$B$17:$D$18,2,FALSE())," ")</f>
        <v>Baik</v>
      </c>
      <c r="I28" s="11">
        <v>1295000</v>
      </c>
      <c r="J28" s="12">
        <f t="shared" si="0"/>
        <v>1</v>
      </c>
      <c r="K28" s="10" t="str">
        <f t="shared" si="1"/>
        <v>Baru</v>
      </c>
      <c r="L28" s="10" t="str">
        <f t="shared" si="2"/>
        <v>3.05.02.01.004 - Kursi Kerja - No.024</v>
      </c>
      <c r="M28" s="10" t="str">
        <f t="shared" si="3"/>
        <v>3201-2025-00024</v>
      </c>
      <c r="N28" s="10" t="str">
        <f t="shared" si="4"/>
        <v>3201</v>
      </c>
      <c r="O28" s="10" t="str">
        <f t="shared" si="5"/>
        <v>2025</v>
      </c>
      <c r="P28" s="10" t="str">
        <f t="shared" si="6"/>
        <v>00024</v>
      </c>
    </row>
    <row r="29" spans="1:16" ht="15.75" customHeight="1">
      <c r="A29" s="4">
        <v>25</v>
      </c>
      <c r="B29" s="9" t="s">
        <v>76</v>
      </c>
      <c r="C29" s="4" t="s">
        <v>15</v>
      </c>
      <c r="D29" s="4">
        <v>25</v>
      </c>
      <c r="E29" s="10" t="str">
        <f>IFERROR(VLOOKUP(C29,'Master Kode BMN'!$A$4:$C$13,2,FALSE())," ")</f>
        <v>AC Split</v>
      </c>
      <c r="F29" s="4">
        <v>2025</v>
      </c>
      <c r="G29" s="4" t="s">
        <v>29</v>
      </c>
      <c r="H29" s="10" t="str">
        <f>IFERROR(HLOOKUP(G29,'Master Kode BMN'!$B$17:$D$18,2,FALSE())," ")</f>
        <v>Baik</v>
      </c>
      <c r="I29" s="11">
        <v>4560000</v>
      </c>
      <c r="J29" s="12">
        <f t="shared" si="0"/>
        <v>1</v>
      </c>
      <c r="K29" s="10" t="str">
        <f t="shared" si="1"/>
        <v>Baru</v>
      </c>
      <c r="L29" s="10" t="str">
        <f t="shared" si="2"/>
        <v>3.05.02.03.002 - AC Split - No.025</v>
      </c>
      <c r="M29" s="10" t="str">
        <f t="shared" si="3"/>
        <v>3201-2025-00025</v>
      </c>
      <c r="N29" s="10" t="str">
        <f t="shared" si="4"/>
        <v>3201</v>
      </c>
      <c r="O29" s="10" t="str">
        <f t="shared" si="5"/>
        <v>2025</v>
      </c>
      <c r="P29" s="10" t="str">
        <f t="shared" si="6"/>
        <v>00025</v>
      </c>
    </row>
    <row r="30" spans="1:16" ht="15.75" customHeight="1"/>
    <row r="31" spans="1:16" ht="15.75" customHeight="1"/>
    <row r="32" spans="1:16" ht="15.75" customHeight="1">
      <c r="A32" s="81" t="s">
        <v>77</v>
      </c>
      <c r="B32" s="81"/>
      <c r="C32" s="81"/>
      <c r="D32" s="81"/>
      <c r="K32" s="2" t="s">
        <v>78</v>
      </c>
      <c r="L32" s="2" t="s">
        <v>42</v>
      </c>
    </row>
    <row r="33" spans="1:12" ht="15.75" customHeight="1">
      <c r="A33" s="2" t="s">
        <v>42</v>
      </c>
      <c r="B33" s="2" t="s">
        <v>79</v>
      </c>
      <c r="C33" s="2" t="s">
        <v>80</v>
      </c>
      <c r="K33" s="13">
        <v>2</v>
      </c>
      <c r="L33" s="14" t="s">
        <v>81</v>
      </c>
    </row>
    <row r="34" spans="1:12" ht="15.75" customHeight="1">
      <c r="A34" s="15" t="s">
        <v>29</v>
      </c>
      <c r="B34" s="14">
        <f>COUNTIF($G5:G$29,A34)</f>
        <v>16</v>
      </c>
      <c r="C34" s="16">
        <f>SUMIF($G$5:$G$29,A34,$I$5:$I$29)</f>
        <v>68790000</v>
      </c>
      <c r="K34" s="13" t="s">
        <v>82</v>
      </c>
      <c r="L34" s="14" t="s">
        <v>83</v>
      </c>
    </row>
    <row r="35" spans="1:12" ht="15.75" customHeight="1">
      <c r="A35" s="15" t="s">
        <v>30</v>
      </c>
      <c r="B35" s="14">
        <f>COUNTIF($G6:G$29,A35)</f>
        <v>5</v>
      </c>
      <c r="C35" s="16">
        <f>SUMIF($G$5:$G$29,A35,$I$5:$I$29)</f>
        <v>18020000</v>
      </c>
      <c r="K35" s="13" t="s">
        <v>84</v>
      </c>
      <c r="L35" s="14" t="s">
        <v>85</v>
      </c>
    </row>
    <row r="36" spans="1:12" ht="15.75" customHeight="1">
      <c r="A36" s="15" t="s">
        <v>31</v>
      </c>
      <c r="B36" s="14">
        <f>COUNTIF($G7:G$29,A36)</f>
        <v>4</v>
      </c>
      <c r="C36" s="16">
        <f>SUMIF($G$5:$G$29,A36,$I$5:$I$29)</f>
        <v>46090000</v>
      </c>
      <c r="K36" s="17" t="s">
        <v>86</v>
      </c>
      <c r="L36" s="18" t="s">
        <v>87</v>
      </c>
    </row>
    <row r="37" spans="1:12" ht="15.75" customHeight="1">
      <c r="A37" s="19" t="s">
        <v>88</v>
      </c>
      <c r="B37" s="20">
        <f>SUM(B34:B36)</f>
        <v>25</v>
      </c>
      <c r="C37" s="21">
        <f>SUM(C34:C36)</f>
        <v>132900000</v>
      </c>
    </row>
    <row r="38" spans="1:12" ht="15.75" customHeight="1"/>
    <row r="39" spans="1:12" ht="15.75" customHeight="1"/>
    <row r="40" spans="1:12" ht="15.75" customHeight="1">
      <c r="A40" s="81" t="s">
        <v>89</v>
      </c>
      <c r="B40" s="81"/>
      <c r="C40" s="81"/>
      <c r="D40" s="81"/>
    </row>
    <row r="41" spans="1:12" ht="15.75" customHeight="1">
      <c r="A41" s="85" t="s">
        <v>90</v>
      </c>
      <c r="B41" s="85"/>
      <c r="C41" s="85"/>
      <c r="D41" s="21">
        <f>COUNTIFS($G$5:$G$29,$A$36,$F$5:$F$29,"&lt;2020")</f>
        <v>1</v>
      </c>
    </row>
    <row r="42" spans="1:12" ht="15.75" customHeight="1">
      <c r="A42" s="85" t="s">
        <v>91</v>
      </c>
      <c r="B42" s="85"/>
      <c r="C42" s="85"/>
      <c r="D42" s="21">
        <f>SUMIFS($I$5:$I$29,$G$5:$G$29,$A$34,$F$5:$F$29,"2024")</f>
        <v>6865000</v>
      </c>
    </row>
    <row r="43" spans="1:12" ht="15.75" customHeight="1"/>
    <row r="44" spans="1:12" ht="15" customHeight="1">
      <c r="A44" s="22" t="s">
        <v>92</v>
      </c>
      <c r="B44" s="23" t="s">
        <v>42</v>
      </c>
      <c r="C44" s="24"/>
      <c r="D44" s="24"/>
      <c r="E44" s="25"/>
    </row>
    <row r="45" spans="1:12" ht="15.75" customHeight="1">
      <c r="A45" s="26" t="s">
        <v>40</v>
      </c>
      <c r="B45" s="27" t="s">
        <v>29</v>
      </c>
      <c r="C45" s="28" t="s">
        <v>31</v>
      </c>
      <c r="D45" s="28" t="s">
        <v>30</v>
      </c>
      <c r="E45" s="29" t="s">
        <v>93</v>
      </c>
    </row>
    <row r="46" spans="1:12" ht="15.75" customHeight="1">
      <c r="A46" s="30" t="s">
        <v>16</v>
      </c>
      <c r="B46" s="31">
        <v>4560000</v>
      </c>
      <c r="C46" s="32">
        <v>8670000</v>
      </c>
      <c r="D46" s="33"/>
      <c r="E46" s="34">
        <v>13230000</v>
      </c>
    </row>
    <row r="47" spans="1:12" ht="15.75" customHeight="1">
      <c r="A47" s="35" t="s">
        <v>26</v>
      </c>
      <c r="B47" s="36"/>
      <c r="C47" s="37">
        <v>37420000</v>
      </c>
      <c r="D47" s="38"/>
      <c r="E47" s="39">
        <v>37420000</v>
      </c>
    </row>
    <row r="48" spans="1:12" ht="15.75" customHeight="1">
      <c r="A48" s="35" t="s">
        <v>14</v>
      </c>
      <c r="B48" s="40">
        <v>3435000</v>
      </c>
      <c r="C48" s="41"/>
      <c r="D48" s="38"/>
      <c r="E48" s="39">
        <v>3435000</v>
      </c>
    </row>
    <row r="49" spans="1:5" ht="15.75" customHeight="1">
      <c r="A49" s="35" t="s">
        <v>24</v>
      </c>
      <c r="B49" s="40">
        <v>24390000</v>
      </c>
      <c r="C49" s="41"/>
      <c r="D49" s="38"/>
      <c r="E49" s="39">
        <v>24390000</v>
      </c>
    </row>
    <row r="50" spans="1:5" ht="15.75" customHeight="1">
      <c r="A50" s="35" t="s">
        <v>6</v>
      </c>
      <c r="B50" s="40">
        <v>10950000</v>
      </c>
      <c r="C50" s="41"/>
      <c r="D50" s="38"/>
      <c r="E50" s="39">
        <v>10950000</v>
      </c>
    </row>
    <row r="51" spans="1:5" ht="15.75" customHeight="1">
      <c r="A51" s="35" t="s">
        <v>9</v>
      </c>
      <c r="B51" s="40">
        <v>5830000</v>
      </c>
      <c r="C51" s="41"/>
      <c r="D51" s="42">
        <v>2915000</v>
      </c>
      <c r="E51" s="39">
        <v>8745000</v>
      </c>
    </row>
    <row r="52" spans="1:5" ht="15.75" customHeight="1">
      <c r="A52" s="35" t="s">
        <v>11</v>
      </c>
      <c r="B52" s="40">
        <v>1980000</v>
      </c>
      <c r="C52" s="41"/>
      <c r="D52" s="42">
        <v>3960000</v>
      </c>
      <c r="E52" s="39">
        <v>5940000</v>
      </c>
    </row>
    <row r="53" spans="1:5" ht="15.75" customHeight="1">
      <c r="A53" s="35" t="s">
        <v>20</v>
      </c>
      <c r="B53" s="40">
        <v>8740000</v>
      </c>
      <c r="C53" s="41"/>
      <c r="D53" s="42">
        <v>8590000</v>
      </c>
      <c r="E53" s="39">
        <v>17330000</v>
      </c>
    </row>
    <row r="54" spans="1:5" ht="15.75" customHeight="1">
      <c r="A54" s="35" t="s">
        <v>22</v>
      </c>
      <c r="B54" s="40">
        <v>2405000</v>
      </c>
      <c r="C54" s="41"/>
      <c r="D54" s="42">
        <v>2555000</v>
      </c>
      <c r="E54" s="39">
        <v>4960000</v>
      </c>
    </row>
    <row r="55" spans="1:5" ht="15.75" customHeight="1">
      <c r="A55" s="35" t="s">
        <v>18</v>
      </c>
      <c r="B55" s="43">
        <v>6500000</v>
      </c>
      <c r="C55" s="44"/>
      <c r="D55" s="45"/>
      <c r="E55" s="46">
        <v>6500000</v>
      </c>
    </row>
    <row r="56" spans="1:5" ht="15.75" customHeight="1">
      <c r="A56" s="47" t="s">
        <v>93</v>
      </c>
      <c r="B56" s="48">
        <v>68790000</v>
      </c>
      <c r="C56" s="49">
        <v>46090000</v>
      </c>
      <c r="D56" s="50">
        <v>18020000</v>
      </c>
      <c r="E56" s="51">
        <v>132900000</v>
      </c>
    </row>
    <row r="57" spans="1:5" ht="15.75" customHeight="1"/>
    <row r="58" spans="1:5" ht="15.75" customHeight="1"/>
    <row r="59" spans="1:5" ht="15.75" customHeight="1"/>
    <row r="60" spans="1:5" ht="15.75" customHeight="1"/>
    <row r="61" spans="1:5" ht="15.75" customHeight="1"/>
    <row r="62" spans="1:5" ht="15.75" customHeight="1"/>
    <row r="63" spans="1:5" ht="15.75" customHeight="1"/>
    <row r="64" spans="1:5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42:C42"/>
    <mergeCell ref="A1:P1"/>
    <mergeCell ref="A2:C2"/>
    <mergeCell ref="A32:D32"/>
    <mergeCell ref="A40:D40"/>
    <mergeCell ref="A41:C41"/>
  </mergeCells>
  <dataValidations count="1">
    <dataValidation type="list" allowBlank="1" showErrorMessage="1" sqref="G2:G1000" xr:uid="{00000000-0002-0000-0200-000000000000}">
      <formula1>$A$34:$A$36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showGridLines="0" zoomScaleNormal="100" workbookViewId="0">
      <selection activeCell="G32" sqref="G32"/>
    </sheetView>
  </sheetViews>
  <sheetFormatPr defaultColWidth="14.42578125" defaultRowHeight="15"/>
  <cols>
    <col min="1" max="1" width="5" style="1" customWidth="1"/>
    <col min="2" max="2" width="16" style="1" customWidth="1"/>
    <col min="3" max="3" width="26" style="1" customWidth="1"/>
    <col min="4" max="4" width="6" style="1" customWidth="1"/>
    <col min="5" max="5" width="13" style="1" customWidth="1"/>
    <col min="6" max="6" width="17" style="1" customWidth="1"/>
    <col min="7" max="7" width="11" style="1" customWidth="1"/>
    <col min="8" max="8" width="13" style="1" customWidth="1"/>
    <col min="9" max="9" width="18" style="1" customWidth="1"/>
    <col min="10" max="10" width="20" style="1" customWidth="1"/>
    <col min="11" max="11" width="16" style="1" customWidth="1"/>
    <col min="12" max="26" width="8.7109375" style="1" customWidth="1"/>
  </cols>
  <sheetData>
    <row r="1" spans="1:11" ht="17.25" customHeight="1">
      <c r="A1" s="87" t="s">
        <v>94</v>
      </c>
      <c r="B1" s="87"/>
      <c r="C1" s="87"/>
      <c r="D1" s="87"/>
      <c r="E1" s="87"/>
      <c r="F1" s="87"/>
      <c r="G1" s="87"/>
      <c r="H1" s="87"/>
      <c r="I1" s="87"/>
      <c r="J1" s="87"/>
      <c r="K1" s="87"/>
    </row>
    <row r="2" spans="1:11" ht="15" customHeight="1">
      <c r="A2" s="86" t="s">
        <v>36</v>
      </c>
      <c r="B2" s="86"/>
      <c r="C2" s="86"/>
      <c r="D2" s="86"/>
      <c r="E2" s="7">
        <v>2026</v>
      </c>
      <c r="G2" s="88"/>
      <c r="H2" s="88"/>
      <c r="I2" s="88"/>
      <c r="J2" s="88"/>
      <c r="K2" s="88"/>
    </row>
    <row r="3" spans="1:11" ht="15" customHeight="1"/>
    <row r="4" spans="1:11" ht="23.25" customHeight="1">
      <c r="A4" s="8" t="s">
        <v>37</v>
      </c>
      <c r="B4" s="8" t="s">
        <v>1</v>
      </c>
      <c r="C4" s="8" t="s">
        <v>40</v>
      </c>
      <c r="D4" s="8" t="s">
        <v>39</v>
      </c>
      <c r="E4" s="8" t="s">
        <v>41</v>
      </c>
      <c r="F4" s="8" t="s">
        <v>44</v>
      </c>
      <c r="G4" s="8" t="s">
        <v>45</v>
      </c>
      <c r="H4" s="8" t="s">
        <v>4</v>
      </c>
      <c r="I4" s="8" t="s">
        <v>95</v>
      </c>
      <c r="J4" s="8" t="s">
        <v>96</v>
      </c>
      <c r="K4" s="8" t="s">
        <v>97</v>
      </c>
    </row>
    <row r="5" spans="1:11" ht="15" customHeight="1">
      <c r="A5" s="4">
        <v>1</v>
      </c>
      <c r="B5" s="4" t="s">
        <v>5</v>
      </c>
      <c r="C5" s="10" t="str">
        <f t="array" ref="C5">INDEX(Dataset!$E$5:$E$29,MATCH(Dataset!C5,Dataset!$C$5:$C$29,0))</f>
        <v>Lemari Besi</v>
      </c>
      <c r="D5" s="4">
        <v>1</v>
      </c>
      <c r="E5" s="4">
        <v>2016</v>
      </c>
      <c r="F5" s="52">
        <v>3500000</v>
      </c>
      <c r="G5" s="12">
        <f t="shared" ref="G5:G29" si="0">$E$2-E5</f>
        <v>10</v>
      </c>
      <c r="H5" s="53">
        <f t="array" ref="H5">INDEX('Master Kode BMN'!$D$4:$D$13,MATCH(C5,'Master Kode BMN'!$B$4:$B$13,0))</f>
        <v>5</v>
      </c>
      <c r="I5" s="54">
        <f t="shared" ref="I5:I29" si="1">SLN(F5,0,H5)</f>
        <v>700000</v>
      </c>
      <c r="J5" s="54">
        <f t="shared" ref="J5:J29" si="2">MIN(I5*G5,F5)</f>
        <v>3500000</v>
      </c>
      <c r="K5" s="54">
        <f t="shared" ref="K5:K29" si="3">F5-J5</f>
        <v>0</v>
      </c>
    </row>
    <row r="6" spans="1:11" ht="15" customHeight="1">
      <c r="A6" s="4">
        <v>2</v>
      </c>
      <c r="B6" s="4" t="s">
        <v>8</v>
      </c>
      <c r="C6" s="10" t="str">
        <f t="array" ref="C6">INDEX(Dataset!$E$5:$E$29,MATCH(Dataset!C6,Dataset!$C$5:$C$29,0))</f>
        <v>Lemari Kayu</v>
      </c>
      <c r="D6" s="4">
        <v>2</v>
      </c>
      <c r="E6" s="4">
        <v>2017</v>
      </c>
      <c r="F6" s="52">
        <v>2765000</v>
      </c>
      <c r="G6" s="12">
        <f t="shared" si="0"/>
        <v>9</v>
      </c>
      <c r="H6" s="53">
        <f t="array" ref="H6">INDEX('Master Kode BMN'!$D$4:$D$13,MATCH(C6,'Master Kode BMN'!$B$4:$B$13,0))</f>
        <v>4</v>
      </c>
      <c r="I6" s="54">
        <f t="shared" si="1"/>
        <v>691250</v>
      </c>
      <c r="J6" s="54">
        <f t="shared" si="2"/>
        <v>2765000</v>
      </c>
      <c r="K6" s="54">
        <f t="shared" si="3"/>
        <v>0</v>
      </c>
    </row>
    <row r="7" spans="1:11" ht="15" customHeight="1">
      <c r="A7" s="4">
        <v>3</v>
      </c>
      <c r="B7" s="4" t="s">
        <v>10</v>
      </c>
      <c r="C7" s="10" t="str">
        <f t="array" ref="C7">INDEX(Dataset!$E$5:$E$29,MATCH(Dataset!C7,Dataset!$C$5:$C$29,0))</f>
        <v>Meja Kerja Kayu</v>
      </c>
      <c r="D7" s="4">
        <v>3</v>
      </c>
      <c r="E7" s="4">
        <v>2018</v>
      </c>
      <c r="F7" s="52">
        <v>1830000</v>
      </c>
      <c r="G7" s="12">
        <f t="shared" si="0"/>
        <v>8</v>
      </c>
      <c r="H7" s="53">
        <f t="array" ref="H7">INDEX('Master Kode BMN'!$D$4:$D$13,MATCH(C7,'Master Kode BMN'!$B$4:$B$13,0))</f>
        <v>5</v>
      </c>
      <c r="I7" s="54">
        <f t="shared" si="1"/>
        <v>366000</v>
      </c>
      <c r="J7" s="54">
        <f t="shared" si="2"/>
        <v>1830000</v>
      </c>
      <c r="K7" s="54">
        <f t="shared" si="3"/>
        <v>0</v>
      </c>
    </row>
    <row r="8" spans="1:11" ht="15" customHeight="1">
      <c r="A8" s="4">
        <v>4</v>
      </c>
      <c r="B8" s="4" t="s">
        <v>13</v>
      </c>
      <c r="C8" s="10" t="str">
        <f t="array" ref="C8">INDEX(Dataset!$E$5:$E$29,MATCH(Dataset!C8,Dataset!$C$5:$C$29,0))</f>
        <v>Kursi Kerja</v>
      </c>
      <c r="D8" s="4">
        <v>4</v>
      </c>
      <c r="E8" s="4">
        <v>2018</v>
      </c>
      <c r="F8" s="52">
        <v>995000</v>
      </c>
      <c r="G8" s="12">
        <f t="shared" si="0"/>
        <v>8</v>
      </c>
      <c r="H8" s="53">
        <f t="array" ref="H8">INDEX('Master Kode BMN'!$D$4:$D$13,MATCH(C8,'Master Kode BMN'!$B$4:$B$13,0))</f>
        <v>5</v>
      </c>
      <c r="I8" s="54">
        <f t="shared" si="1"/>
        <v>199000</v>
      </c>
      <c r="J8" s="54">
        <f t="shared" si="2"/>
        <v>995000</v>
      </c>
      <c r="K8" s="54">
        <f t="shared" si="3"/>
        <v>0</v>
      </c>
    </row>
    <row r="9" spans="1:11" ht="15" customHeight="1">
      <c r="A9" s="4">
        <v>5</v>
      </c>
      <c r="B9" s="4" t="s">
        <v>15</v>
      </c>
      <c r="C9" s="10" t="str">
        <f t="array" ref="C9">INDEX(Dataset!$E$5:$E$29,MATCH(Dataset!C9,Dataset!$C$5:$C$29,0))</f>
        <v>AC Split</v>
      </c>
      <c r="D9" s="4">
        <v>5</v>
      </c>
      <c r="E9" s="4">
        <v>2019</v>
      </c>
      <c r="F9" s="52">
        <v>4260000</v>
      </c>
      <c r="G9" s="12">
        <f t="shared" si="0"/>
        <v>7</v>
      </c>
      <c r="H9" s="53">
        <f t="array" ref="H9">INDEX('Master Kode BMN'!$D$4:$D$13,MATCH(C9,'Master Kode BMN'!$B$4:$B$13,0))</f>
        <v>5</v>
      </c>
      <c r="I9" s="54">
        <f t="shared" si="1"/>
        <v>852000</v>
      </c>
      <c r="J9" s="54">
        <f t="shared" si="2"/>
        <v>4260000</v>
      </c>
      <c r="K9" s="54">
        <f t="shared" si="3"/>
        <v>0</v>
      </c>
    </row>
    <row r="10" spans="1:11" ht="15" customHeight="1">
      <c r="A10" s="4">
        <v>6</v>
      </c>
      <c r="B10" s="4" t="s">
        <v>17</v>
      </c>
      <c r="C10" s="10" t="str">
        <f t="array" ref="C10">INDEX(Dataset!$E$5:$E$29,MATCH(Dataset!C10,Dataset!$C$5:$C$29,0))</f>
        <v>Televisi</v>
      </c>
      <c r="D10" s="4">
        <v>6</v>
      </c>
      <c r="E10" s="4">
        <v>2019</v>
      </c>
      <c r="F10" s="52">
        <v>3175000</v>
      </c>
      <c r="G10" s="12">
        <f t="shared" si="0"/>
        <v>7</v>
      </c>
      <c r="H10" s="53">
        <f t="array" ref="H10">INDEX('Master Kode BMN'!$D$4:$D$13,MATCH(C10,'Master Kode BMN'!$B$4:$B$13,0))</f>
        <v>5</v>
      </c>
      <c r="I10" s="54">
        <f t="shared" si="1"/>
        <v>635000</v>
      </c>
      <c r="J10" s="54">
        <f t="shared" si="2"/>
        <v>3175000</v>
      </c>
      <c r="K10" s="54">
        <f t="shared" si="3"/>
        <v>0</v>
      </c>
    </row>
    <row r="11" spans="1:11" ht="15" customHeight="1">
      <c r="A11" s="4">
        <v>7</v>
      </c>
      <c r="B11" s="4" t="s">
        <v>19</v>
      </c>
      <c r="C11" s="10" t="str">
        <f t="array" ref="C11">INDEX(Dataset!$E$5:$E$29,MATCH(Dataset!C11,Dataset!$C$5:$C$29,0))</f>
        <v>Personal Komputer (PC Unit)</v>
      </c>
      <c r="D11" s="4">
        <v>7</v>
      </c>
      <c r="E11" s="4">
        <v>2020</v>
      </c>
      <c r="F11" s="52">
        <v>8590000</v>
      </c>
      <c r="G11" s="12">
        <f t="shared" si="0"/>
        <v>6</v>
      </c>
      <c r="H11" s="53">
        <f t="array" ref="H11">INDEX('Master Kode BMN'!$D$4:$D$13,MATCH(C11,'Master Kode BMN'!$B$4:$B$13,0))</f>
        <v>4</v>
      </c>
      <c r="I11" s="54">
        <f t="shared" si="1"/>
        <v>2147500</v>
      </c>
      <c r="J11" s="54">
        <f t="shared" si="2"/>
        <v>8590000</v>
      </c>
      <c r="K11" s="54">
        <f t="shared" si="3"/>
        <v>0</v>
      </c>
    </row>
    <row r="12" spans="1:11" ht="15" customHeight="1">
      <c r="A12" s="4">
        <v>8</v>
      </c>
      <c r="B12" s="4" t="s">
        <v>21</v>
      </c>
      <c r="C12" s="10" t="str">
        <f t="array" ref="C12">INDEX(Dataset!$E$5:$E$29,MATCH(Dataset!C12,Dataset!$C$5:$C$29,0))</f>
        <v>Printer</v>
      </c>
      <c r="D12" s="4">
        <v>8</v>
      </c>
      <c r="E12" s="4">
        <v>2020</v>
      </c>
      <c r="F12" s="52">
        <v>2405000</v>
      </c>
      <c r="G12" s="12">
        <f t="shared" si="0"/>
        <v>6</v>
      </c>
      <c r="H12" s="53">
        <f t="array" ref="H12">INDEX('Master Kode BMN'!$D$4:$D$13,MATCH(C12,'Master Kode BMN'!$B$4:$B$13,0))</f>
        <v>4</v>
      </c>
      <c r="I12" s="54">
        <f t="shared" si="1"/>
        <v>601250</v>
      </c>
      <c r="J12" s="54">
        <f t="shared" si="2"/>
        <v>2405000</v>
      </c>
      <c r="K12" s="54">
        <f t="shared" si="3"/>
        <v>0</v>
      </c>
    </row>
    <row r="13" spans="1:11" ht="15" customHeight="1">
      <c r="A13" s="4">
        <v>9</v>
      </c>
      <c r="B13" s="4" t="s">
        <v>23</v>
      </c>
      <c r="C13" s="10" t="str">
        <f t="array" ref="C13">INDEX(Dataset!$E$5:$E$29,MATCH(Dataset!C13,Dataset!$C$5:$C$29,0))</f>
        <v>Laptop</v>
      </c>
      <c r="D13" s="4">
        <v>9</v>
      </c>
      <c r="E13" s="4">
        <v>2020</v>
      </c>
      <c r="F13" s="52">
        <v>12120000</v>
      </c>
      <c r="G13" s="12">
        <f t="shared" si="0"/>
        <v>6</v>
      </c>
      <c r="H13" s="53">
        <f t="array" ref="H13">INDEX('Master Kode BMN'!$D$4:$D$13,MATCH(C13,'Master Kode BMN'!$B$4:$B$13,0))</f>
        <v>4</v>
      </c>
      <c r="I13" s="54">
        <f t="shared" si="1"/>
        <v>3030000</v>
      </c>
      <c r="J13" s="54">
        <f t="shared" si="2"/>
        <v>12120000</v>
      </c>
      <c r="K13" s="54">
        <f t="shared" si="3"/>
        <v>0</v>
      </c>
    </row>
    <row r="14" spans="1:11" ht="15" customHeight="1">
      <c r="A14" s="4">
        <v>10</v>
      </c>
      <c r="B14" s="4" t="s">
        <v>25</v>
      </c>
      <c r="C14" s="10" t="str">
        <f t="array" ref="C14">INDEX(Dataset!$E$5:$E$29,MATCH(Dataset!C14,Dataset!$C$5:$C$29,0))</f>
        <v>Kendaraan Bermotor Roda Dua</v>
      </c>
      <c r="D14" s="4">
        <v>10</v>
      </c>
      <c r="E14" s="4">
        <v>2021</v>
      </c>
      <c r="F14" s="52">
        <v>18635000</v>
      </c>
      <c r="G14" s="12">
        <f t="shared" si="0"/>
        <v>5</v>
      </c>
      <c r="H14" s="53">
        <f t="array" ref="H14">INDEX('Master Kode BMN'!$D$4:$D$13,MATCH(C14,'Master Kode BMN'!$B$4:$B$13,0))</f>
        <v>7</v>
      </c>
      <c r="I14" s="54">
        <f t="shared" si="1"/>
        <v>2662142.8571428573</v>
      </c>
      <c r="J14" s="54">
        <f t="shared" si="2"/>
        <v>13310714.285714287</v>
      </c>
      <c r="K14" s="54">
        <f t="shared" si="3"/>
        <v>5324285.7142857127</v>
      </c>
    </row>
    <row r="15" spans="1:11" ht="15" customHeight="1">
      <c r="A15" s="4">
        <v>11</v>
      </c>
      <c r="B15" s="4" t="s">
        <v>5</v>
      </c>
      <c r="C15" s="10" t="str">
        <f t="array" ref="C15">INDEX(Dataset!$E$5:$E$29,MATCH(Dataset!C15,Dataset!$C$5:$C$29,0))</f>
        <v>Lemari Besi</v>
      </c>
      <c r="D15" s="4">
        <v>11</v>
      </c>
      <c r="E15" s="4">
        <v>2021</v>
      </c>
      <c r="F15" s="52">
        <v>3650000</v>
      </c>
      <c r="G15" s="12">
        <f t="shared" si="0"/>
        <v>5</v>
      </c>
      <c r="H15" s="53">
        <f t="array" ref="H15">INDEX('Master Kode BMN'!$D$4:$D$13,MATCH(C15,'Master Kode BMN'!$B$4:$B$13,0))</f>
        <v>5</v>
      </c>
      <c r="I15" s="54">
        <f t="shared" si="1"/>
        <v>730000</v>
      </c>
      <c r="J15" s="54">
        <f t="shared" si="2"/>
        <v>3650000</v>
      </c>
      <c r="K15" s="54">
        <f t="shared" si="3"/>
        <v>0</v>
      </c>
    </row>
    <row r="16" spans="1:11" ht="15" customHeight="1">
      <c r="A16" s="4">
        <v>12</v>
      </c>
      <c r="B16" s="4" t="s">
        <v>8</v>
      </c>
      <c r="C16" s="10" t="str">
        <f t="array" ref="C16">INDEX(Dataset!$E$5:$E$29,MATCH(Dataset!C16,Dataset!$C$5:$C$29,0))</f>
        <v>Lemari Kayu</v>
      </c>
      <c r="D16" s="4">
        <v>12</v>
      </c>
      <c r="E16" s="4">
        <v>2021</v>
      </c>
      <c r="F16" s="52">
        <v>2915000</v>
      </c>
      <c r="G16" s="12">
        <f t="shared" si="0"/>
        <v>5</v>
      </c>
      <c r="H16" s="53">
        <f t="array" ref="H16">INDEX('Master Kode BMN'!$D$4:$D$13,MATCH(C16,'Master Kode BMN'!$B$4:$B$13,0))</f>
        <v>4</v>
      </c>
      <c r="I16" s="54">
        <f t="shared" si="1"/>
        <v>728750</v>
      </c>
      <c r="J16" s="54">
        <f t="shared" si="2"/>
        <v>2915000</v>
      </c>
      <c r="K16" s="54">
        <f t="shared" si="3"/>
        <v>0</v>
      </c>
    </row>
    <row r="17" spans="1:11" ht="15" customHeight="1">
      <c r="A17" s="4">
        <v>13</v>
      </c>
      <c r="B17" s="4" t="s">
        <v>10</v>
      </c>
      <c r="C17" s="10" t="str">
        <f t="array" ref="C17">INDEX(Dataset!$E$5:$E$29,MATCH(Dataset!C17,Dataset!$C$5:$C$29,0))</f>
        <v>Meja Kerja Kayu</v>
      </c>
      <c r="D17" s="4">
        <v>13</v>
      </c>
      <c r="E17" s="4">
        <v>2022</v>
      </c>
      <c r="F17" s="52">
        <v>1980000</v>
      </c>
      <c r="G17" s="12">
        <f t="shared" si="0"/>
        <v>4</v>
      </c>
      <c r="H17" s="53">
        <f t="array" ref="H17">INDEX('Master Kode BMN'!$D$4:$D$13,MATCH(C17,'Master Kode BMN'!$B$4:$B$13,0))</f>
        <v>5</v>
      </c>
      <c r="I17" s="54">
        <f t="shared" si="1"/>
        <v>396000</v>
      </c>
      <c r="J17" s="54">
        <f t="shared" si="2"/>
        <v>1584000</v>
      </c>
      <c r="K17" s="54">
        <f t="shared" si="3"/>
        <v>396000</v>
      </c>
    </row>
    <row r="18" spans="1:11" ht="15" customHeight="1">
      <c r="A18" s="4">
        <v>14</v>
      </c>
      <c r="B18" s="4" t="s">
        <v>13</v>
      </c>
      <c r="C18" s="10" t="str">
        <f t="array" ref="C18">INDEX(Dataset!$E$5:$E$29,MATCH(Dataset!C18,Dataset!$C$5:$C$29,0))</f>
        <v>Kursi Kerja</v>
      </c>
      <c r="D18" s="4">
        <v>14</v>
      </c>
      <c r="E18" s="4">
        <v>2022</v>
      </c>
      <c r="F18" s="52">
        <v>1145000</v>
      </c>
      <c r="G18" s="12">
        <f t="shared" si="0"/>
        <v>4</v>
      </c>
      <c r="H18" s="53">
        <f t="array" ref="H18">INDEX('Master Kode BMN'!$D$4:$D$13,MATCH(C18,'Master Kode BMN'!$B$4:$B$13,0))</f>
        <v>5</v>
      </c>
      <c r="I18" s="54">
        <f t="shared" si="1"/>
        <v>229000</v>
      </c>
      <c r="J18" s="54">
        <f t="shared" si="2"/>
        <v>916000</v>
      </c>
      <c r="K18" s="54">
        <f t="shared" si="3"/>
        <v>229000</v>
      </c>
    </row>
    <row r="19" spans="1:11" ht="15" customHeight="1">
      <c r="A19" s="4">
        <v>15</v>
      </c>
      <c r="B19" s="4" t="s">
        <v>15</v>
      </c>
      <c r="C19" s="10" t="str">
        <f t="array" ref="C19">INDEX(Dataset!$E$5:$E$29,MATCH(Dataset!C19,Dataset!$C$5:$C$29,0))</f>
        <v>AC Split</v>
      </c>
      <c r="D19" s="4">
        <v>15</v>
      </c>
      <c r="E19" s="4">
        <v>2022</v>
      </c>
      <c r="F19" s="52">
        <v>4410000</v>
      </c>
      <c r="G19" s="12">
        <f t="shared" si="0"/>
        <v>4</v>
      </c>
      <c r="H19" s="53">
        <f t="array" ref="H19">INDEX('Master Kode BMN'!$D$4:$D$13,MATCH(C19,'Master Kode BMN'!$B$4:$B$13,0))</f>
        <v>5</v>
      </c>
      <c r="I19" s="54">
        <f t="shared" si="1"/>
        <v>882000</v>
      </c>
      <c r="J19" s="54">
        <f t="shared" si="2"/>
        <v>3528000</v>
      </c>
      <c r="K19" s="54">
        <f t="shared" si="3"/>
        <v>882000</v>
      </c>
    </row>
    <row r="20" spans="1:11" ht="15" customHeight="1">
      <c r="A20" s="4">
        <v>16</v>
      </c>
      <c r="B20" s="4" t="s">
        <v>17</v>
      </c>
      <c r="C20" s="10" t="str">
        <f t="array" ref="C20">INDEX(Dataset!$E$5:$E$29,MATCH(Dataset!C20,Dataset!$C$5:$C$29,0))</f>
        <v>Televisi</v>
      </c>
      <c r="D20" s="4">
        <v>16</v>
      </c>
      <c r="E20" s="4">
        <v>2023</v>
      </c>
      <c r="F20" s="52">
        <v>3325000</v>
      </c>
      <c r="G20" s="12">
        <f t="shared" si="0"/>
        <v>3</v>
      </c>
      <c r="H20" s="53">
        <f t="array" ref="H20">INDEX('Master Kode BMN'!$D$4:$D$13,MATCH(C20,'Master Kode BMN'!$B$4:$B$13,0))</f>
        <v>5</v>
      </c>
      <c r="I20" s="54">
        <f t="shared" si="1"/>
        <v>665000</v>
      </c>
      <c r="J20" s="54">
        <f t="shared" si="2"/>
        <v>1995000</v>
      </c>
      <c r="K20" s="54">
        <f t="shared" si="3"/>
        <v>1330000</v>
      </c>
    </row>
    <row r="21" spans="1:11" ht="15.75" customHeight="1">
      <c r="A21" s="4">
        <v>17</v>
      </c>
      <c r="B21" s="4" t="s">
        <v>19</v>
      </c>
      <c r="C21" s="10" t="str">
        <f t="array" ref="C21">INDEX(Dataset!$E$5:$E$29,MATCH(Dataset!C21,Dataset!$C$5:$C$29,0))</f>
        <v>Personal Komputer (PC Unit)</v>
      </c>
      <c r="D21" s="4">
        <v>17</v>
      </c>
      <c r="E21" s="4">
        <v>2023</v>
      </c>
      <c r="F21" s="52">
        <v>8740000</v>
      </c>
      <c r="G21" s="12">
        <f t="shared" si="0"/>
        <v>3</v>
      </c>
      <c r="H21" s="53">
        <f t="array" ref="H21">INDEX('Master Kode BMN'!$D$4:$D$13,MATCH(C21,'Master Kode BMN'!$B$4:$B$13,0))</f>
        <v>4</v>
      </c>
      <c r="I21" s="54">
        <f t="shared" si="1"/>
        <v>2185000</v>
      </c>
      <c r="J21" s="54">
        <f t="shared" si="2"/>
        <v>6555000</v>
      </c>
      <c r="K21" s="54">
        <f t="shared" si="3"/>
        <v>2185000</v>
      </c>
    </row>
    <row r="22" spans="1:11" ht="15.75" customHeight="1">
      <c r="A22" s="4">
        <v>18</v>
      </c>
      <c r="B22" s="4" t="s">
        <v>21</v>
      </c>
      <c r="C22" s="10" t="str">
        <f t="array" ref="C22">INDEX(Dataset!$E$5:$E$29,MATCH(Dataset!C22,Dataset!$C$5:$C$29,0))</f>
        <v>Printer</v>
      </c>
      <c r="D22" s="4">
        <v>18</v>
      </c>
      <c r="E22" s="4">
        <v>2023</v>
      </c>
      <c r="F22" s="52">
        <v>2555000</v>
      </c>
      <c r="G22" s="12">
        <f t="shared" si="0"/>
        <v>3</v>
      </c>
      <c r="H22" s="53">
        <f t="array" ref="H22">INDEX('Master Kode BMN'!$D$4:$D$13,MATCH(C22,'Master Kode BMN'!$B$4:$B$13,0))</f>
        <v>4</v>
      </c>
      <c r="I22" s="54">
        <f t="shared" si="1"/>
        <v>638750</v>
      </c>
      <c r="J22" s="54">
        <f t="shared" si="2"/>
        <v>1916250</v>
      </c>
      <c r="K22" s="54">
        <f t="shared" si="3"/>
        <v>638750</v>
      </c>
    </row>
    <row r="23" spans="1:11" ht="15.75" customHeight="1">
      <c r="A23" s="4">
        <v>19</v>
      </c>
      <c r="B23" s="4" t="s">
        <v>23</v>
      </c>
      <c r="C23" s="10" t="str">
        <f t="array" ref="C23">INDEX(Dataset!$E$5:$E$29,MATCH(Dataset!C23,Dataset!$C$5:$C$29,0))</f>
        <v>Laptop</v>
      </c>
      <c r="D23" s="4">
        <v>19</v>
      </c>
      <c r="E23" s="4">
        <v>2023</v>
      </c>
      <c r="F23" s="52">
        <v>12270000</v>
      </c>
      <c r="G23" s="12">
        <f t="shared" si="0"/>
        <v>3</v>
      </c>
      <c r="H23" s="53">
        <f t="array" ref="H23">INDEX('Master Kode BMN'!$D$4:$D$13,MATCH(C23,'Master Kode BMN'!$B$4:$B$13,0))</f>
        <v>4</v>
      </c>
      <c r="I23" s="54">
        <f t="shared" si="1"/>
        <v>3067500</v>
      </c>
      <c r="J23" s="54">
        <f t="shared" si="2"/>
        <v>9202500</v>
      </c>
      <c r="K23" s="54">
        <f t="shared" si="3"/>
        <v>3067500</v>
      </c>
    </row>
    <row r="24" spans="1:11" ht="15.75" customHeight="1">
      <c r="A24" s="4">
        <v>20</v>
      </c>
      <c r="B24" s="4" t="s">
        <v>25</v>
      </c>
      <c r="C24" s="10" t="str">
        <f t="array" ref="C24">INDEX(Dataset!$E$5:$E$29,MATCH(Dataset!C24,Dataset!$C$5:$C$29,0))</f>
        <v>Kendaraan Bermotor Roda Dua</v>
      </c>
      <c r="D24" s="4">
        <v>20</v>
      </c>
      <c r="E24" s="4">
        <v>2024</v>
      </c>
      <c r="F24" s="52">
        <v>18785000</v>
      </c>
      <c r="G24" s="12">
        <f t="shared" si="0"/>
        <v>2</v>
      </c>
      <c r="H24" s="53">
        <f t="array" ref="H24">INDEX('Master Kode BMN'!$D$4:$D$13,MATCH(C24,'Master Kode BMN'!$B$4:$B$13,0))</f>
        <v>7</v>
      </c>
      <c r="I24" s="54">
        <f t="shared" si="1"/>
        <v>2683571.4285714286</v>
      </c>
      <c r="J24" s="54">
        <f t="shared" si="2"/>
        <v>5367142.8571428573</v>
      </c>
      <c r="K24" s="54">
        <f t="shared" si="3"/>
        <v>13417857.142857142</v>
      </c>
    </row>
    <row r="25" spans="1:11" ht="15.75" customHeight="1">
      <c r="A25" s="4">
        <v>21</v>
      </c>
      <c r="B25" s="4" t="s">
        <v>5</v>
      </c>
      <c r="C25" s="10" t="str">
        <f t="array" ref="C25">INDEX(Dataset!$E$5:$E$29,MATCH(Dataset!C25,Dataset!$C$5:$C$29,0))</f>
        <v>Lemari Besi</v>
      </c>
      <c r="D25" s="4">
        <v>21</v>
      </c>
      <c r="E25" s="4">
        <v>2024</v>
      </c>
      <c r="F25" s="52">
        <v>3800000</v>
      </c>
      <c r="G25" s="12">
        <f t="shared" si="0"/>
        <v>2</v>
      </c>
      <c r="H25" s="53">
        <f t="array" ref="H25">INDEX('Master Kode BMN'!$D$4:$D$13,MATCH(C25,'Master Kode BMN'!$B$4:$B$13,0))</f>
        <v>5</v>
      </c>
      <c r="I25" s="54">
        <f t="shared" si="1"/>
        <v>760000</v>
      </c>
      <c r="J25" s="54">
        <f t="shared" si="2"/>
        <v>1520000</v>
      </c>
      <c r="K25" s="54">
        <f t="shared" si="3"/>
        <v>2280000</v>
      </c>
    </row>
    <row r="26" spans="1:11" ht="15.75" customHeight="1">
      <c r="A26" s="4">
        <v>22</v>
      </c>
      <c r="B26" s="4" t="s">
        <v>8</v>
      </c>
      <c r="C26" s="10" t="str">
        <f t="array" ref="C26">INDEX(Dataset!$E$5:$E$29,MATCH(Dataset!C26,Dataset!$C$5:$C$29,0))</f>
        <v>Lemari Kayu</v>
      </c>
      <c r="D26" s="4">
        <v>22</v>
      </c>
      <c r="E26" s="4">
        <v>2024</v>
      </c>
      <c r="F26" s="52">
        <v>3065000</v>
      </c>
      <c r="G26" s="12">
        <f t="shared" si="0"/>
        <v>2</v>
      </c>
      <c r="H26" s="53">
        <f t="array" ref="H26">INDEX('Master Kode BMN'!$D$4:$D$13,MATCH(C26,'Master Kode BMN'!$B$4:$B$13,0))</f>
        <v>4</v>
      </c>
      <c r="I26" s="54">
        <f t="shared" si="1"/>
        <v>766250</v>
      </c>
      <c r="J26" s="54">
        <f t="shared" si="2"/>
        <v>1532500</v>
      </c>
      <c r="K26" s="54">
        <f t="shared" si="3"/>
        <v>1532500</v>
      </c>
    </row>
    <row r="27" spans="1:11" ht="15.75" customHeight="1">
      <c r="A27" s="4">
        <v>23</v>
      </c>
      <c r="B27" s="4" t="s">
        <v>10</v>
      </c>
      <c r="C27" s="10" t="str">
        <f t="array" ref="C27">INDEX(Dataset!$E$5:$E$29,MATCH(Dataset!C27,Dataset!$C$5:$C$29,0))</f>
        <v>Meja Kerja Kayu</v>
      </c>
      <c r="D27" s="4">
        <v>23</v>
      </c>
      <c r="E27" s="4">
        <v>2024</v>
      </c>
      <c r="F27" s="52">
        <v>2130000</v>
      </c>
      <c r="G27" s="12">
        <f t="shared" si="0"/>
        <v>2</v>
      </c>
      <c r="H27" s="53">
        <f t="array" ref="H27">INDEX('Master Kode BMN'!$D$4:$D$13,MATCH(C27,'Master Kode BMN'!$B$4:$B$13,0))</f>
        <v>5</v>
      </c>
      <c r="I27" s="54">
        <f t="shared" si="1"/>
        <v>426000</v>
      </c>
      <c r="J27" s="54">
        <f t="shared" si="2"/>
        <v>852000</v>
      </c>
      <c r="K27" s="54">
        <f t="shared" si="3"/>
        <v>1278000</v>
      </c>
    </row>
    <row r="28" spans="1:11" ht="15.75" customHeight="1">
      <c r="A28" s="4">
        <v>24</v>
      </c>
      <c r="B28" s="4" t="s">
        <v>13</v>
      </c>
      <c r="C28" s="10" t="str">
        <f t="array" ref="C28">INDEX(Dataset!$E$5:$E$29,MATCH(Dataset!C28,Dataset!$C$5:$C$29,0))</f>
        <v>Kursi Kerja</v>
      </c>
      <c r="D28" s="4">
        <v>24</v>
      </c>
      <c r="E28" s="4">
        <v>2025</v>
      </c>
      <c r="F28" s="52">
        <v>1295000</v>
      </c>
      <c r="G28" s="12">
        <f t="shared" si="0"/>
        <v>1</v>
      </c>
      <c r="H28" s="53">
        <f t="array" ref="H28">INDEX('Master Kode BMN'!$D$4:$D$13,MATCH(C28,'Master Kode BMN'!$B$4:$B$13,0))</f>
        <v>5</v>
      </c>
      <c r="I28" s="54">
        <f t="shared" si="1"/>
        <v>259000</v>
      </c>
      <c r="J28" s="54">
        <f t="shared" si="2"/>
        <v>259000</v>
      </c>
      <c r="K28" s="54">
        <f t="shared" si="3"/>
        <v>1036000</v>
      </c>
    </row>
    <row r="29" spans="1:11" ht="15.75" customHeight="1">
      <c r="A29" s="4">
        <v>25</v>
      </c>
      <c r="B29" s="4" t="s">
        <v>15</v>
      </c>
      <c r="C29" s="10" t="str">
        <f t="array" ref="C29">INDEX(Dataset!$E$5:$E$29,MATCH(Dataset!C29,Dataset!$C$5:$C$29,0))</f>
        <v>AC Split</v>
      </c>
      <c r="D29" s="4">
        <v>25</v>
      </c>
      <c r="E29" s="4">
        <v>2025</v>
      </c>
      <c r="F29" s="52">
        <v>4560000</v>
      </c>
      <c r="G29" s="12">
        <f t="shared" si="0"/>
        <v>1</v>
      </c>
      <c r="H29" s="53">
        <f t="array" ref="H29">INDEX('Master Kode BMN'!$D$4:$D$13,MATCH(C29,'Master Kode BMN'!$B$4:$B$13,0))</f>
        <v>5</v>
      </c>
      <c r="I29" s="54">
        <f t="shared" si="1"/>
        <v>912000</v>
      </c>
      <c r="J29" s="54">
        <f t="shared" si="2"/>
        <v>912000</v>
      </c>
      <c r="K29" s="54">
        <f t="shared" si="3"/>
        <v>3648000</v>
      </c>
    </row>
    <row r="30" spans="1:11" ht="15.75" customHeight="1"/>
    <row r="31" spans="1:11" ht="15.75" customHeight="1"/>
    <row r="32" spans="1:11" ht="15.75" customHeight="1">
      <c r="A32" s="81" t="s">
        <v>98</v>
      </c>
      <c r="B32" s="81"/>
      <c r="C32" s="81"/>
      <c r="D32" s="81"/>
      <c r="E32" s="81"/>
      <c r="F32" s="81"/>
    </row>
    <row r="33" spans="1:3" ht="15.75" customHeight="1">
      <c r="A33" s="86" t="s">
        <v>99</v>
      </c>
      <c r="B33" s="86"/>
      <c r="C33" s="55" t="s">
        <v>24</v>
      </c>
    </row>
    <row r="34" spans="1:3" ht="15.75" customHeight="1">
      <c r="A34" s="85" t="s">
        <v>1</v>
      </c>
      <c r="B34" s="85"/>
      <c r="C34" s="56" t="str">
        <f t="array" ref="C34">INDEX($B$5:$B$29,MATCH(C33,$C$5:$C$29,0))</f>
        <v>3.05.02.06.012</v>
      </c>
    </row>
    <row r="35" spans="1:3" ht="15.75" customHeight="1">
      <c r="A35" s="85" t="s">
        <v>39</v>
      </c>
      <c r="B35" s="85"/>
      <c r="C35" s="56">
        <f t="array" ref="C35">INDEX($D$5:$D$29,MATCH(C33,$C$5:$C$29,0))</f>
        <v>9</v>
      </c>
    </row>
    <row r="36" spans="1:3" ht="15.75" customHeight="1">
      <c r="A36" s="85" t="s">
        <v>100</v>
      </c>
      <c r="B36" s="85"/>
      <c r="C36" s="54">
        <f t="array" ref="C36">INDEX($F$5:$F$29,MATCH(C33,$C$5:$C$29,0))</f>
        <v>12120000</v>
      </c>
    </row>
    <row r="37" spans="1:3" ht="15.75" customHeight="1"/>
    <row r="38" spans="1:3" ht="15.75" customHeight="1"/>
    <row r="39" spans="1:3" ht="15.75" customHeight="1"/>
    <row r="40" spans="1:3" ht="15.75" customHeight="1"/>
    <row r="41" spans="1:3" ht="15.75" customHeight="1"/>
    <row r="42" spans="1:3" ht="15.75" customHeight="1"/>
    <row r="43" spans="1:3" ht="15.75" customHeight="1"/>
    <row r="44" spans="1:3" ht="15.75" customHeight="1"/>
    <row r="45" spans="1:3" ht="15.75" customHeight="1"/>
    <row r="46" spans="1:3" ht="15.75" customHeight="1"/>
    <row r="47" spans="1:3" ht="15.75" customHeight="1"/>
    <row r="48" spans="1:3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34:B34"/>
    <mergeCell ref="A35:B35"/>
    <mergeCell ref="A36:B36"/>
    <mergeCell ref="A1:K1"/>
    <mergeCell ref="A2:D2"/>
    <mergeCell ref="G2:K2"/>
    <mergeCell ref="A32:F32"/>
    <mergeCell ref="A33:B33"/>
  </mergeCells>
  <dataValidations count="1">
    <dataValidation type="list" allowBlank="1" showErrorMessage="1" sqref="C33" xr:uid="{00000000-0002-0000-0300-000000000000}">
      <formula1>$C$5:$C$29</formula1>
      <formula2>0</formula2>
    </dataValidation>
  </dataValidations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64"/>
  <sheetViews>
    <sheetView showGridLines="0" tabSelected="1" zoomScale="90" zoomScaleNormal="90" workbookViewId="0">
      <selection activeCell="M8" sqref="M8"/>
    </sheetView>
  </sheetViews>
  <sheetFormatPr defaultColWidth="14.42578125" defaultRowHeight="15"/>
  <cols>
    <col min="1" max="1" width="3.7109375" style="1" customWidth="1"/>
    <col min="2" max="2" width="7.28515625" style="1" customWidth="1"/>
    <col min="3" max="3" width="16.5703125" style="1" customWidth="1"/>
    <col min="4" max="4" width="24.42578125" style="1" customWidth="1"/>
    <col min="5" max="5" width="8" style="1" customWidth="1"/>
    <col min="6" max="6" width="10.85546875" style="1" customWidth="1"/>
    <col min="7" max="8" width="13.7109375" style="1" customWidth="1"/>
    <col min="9" max="9" width="18.7109375" style="1" customWidth="1"/>
    <col min="10" max="10" width="10.85546875" style="1" customWidth="1"/>
    <col min="11" max="11" width="11.5703125" style="1" customWidth="1"/>
    <col min="12" max="12" width="18.7109375" style="1" customWidth="1"/>
    <col min="13" max="13" width="19.42578125" style="1" customWidth="1"/>
    <col min="14" max="14" width="18.7109375" style="1" customWidth="1"/>
    <col min="15" max="15" width="0" hidden="1" customWidth="1"/>
  </cols>
  <sheetData>
    <row r="1" spans="2:14" ht="11.25" customHeight="1"/>
    <row r="2" spans="2:14" ht="27" customHeight="1">
      <c r="B2" s="89" t="s">
        <v>142</v>
      </c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</row>
    <row r="3" spans="2:14" ht="18" customHeight="1">
      <c r="B3" s="90" t="s">
        <v>101</v>
      </c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</row>
    <row r="4" spans="2:14" ht="11.25" customHeight="1"/>
    <row r="5" spans="2:14" ht="16.5" customHeight="1">
      <c r="B5" s="91" t="s">
        <v>102</v>
      </c>
      <c r="C5" s="91"/>
      <c r="D5" s="92" t="s">
        <v>103</v>
      </c>
      <c r="E5" s="92"/>
      <c r="F5" s="92"/>
      <c r="G5" s="93" t="s">
        <v>104</v>
      </c>
      <c r="H5" s="93"/>
      <c r="I5" s="93"/>
      <c r="J5" s="94" t="s">
        <v>105</v>
      </c>
      <c r="K5" s="94"/>
      <c r="L5" s="94"/>
      <c r="M5" s="95" t="s">
        <v>106</v>
      </c>
      <c r="N5" s="95"/>
    </row>
    <row r="6" spans="2:14" ht="28.5" customHeight="1">
      <c r="B6" s="96">
        <f>Calc_Dashboard!A18</f>
        <v>25</v>
      </c>
      <c r="C6" s="96"/>
      <c r="D6" s="97">
        <f>Calc_Dashboard!B18</f>
        <v>132900000</v>
      </c>
      <c r="E6" s="97"/>
      <c r="F6" s="97"/>
      <c r="G6" s="98">
        <f>Calc_Dashboard!C18</f>
        <v>95655107.142857134</v>
      </c>
      <c r="H6" s="98"/>
      <c r="I6" s="98"/>
      <c r="J6" s="99">
        <f>Calc_Dashboard!D18</f>
        <v>37244892.857142851</v>
      </c>
      <c r="K6" s="99"/>
      <c r="L6" s="99"/>
      <c r="M6" s="100">
        <f>Calc_Dashboard!E18</f>
        <v>0.64</v>
      </c>
      <c r="N6" s="100"/>
    </row>
    <row r="7" spans="2:14" ht="16.5" customHeight="1">
      <c r="B7" s="101" t="str">
        <f>Calc_Dashboard!A18 &amp; " Unit Barang Terdata"</f>
        <v>25 Unit Barang Terdata</v>
      </c>
      <c r="C7" s="101"/>
      <c r="D7" s="102" t="s">
        <v>107</v>
      </c>
      <c r="E7" s="102"/>
      <c r="F7" s="102"/>
      <c r="G7" s="103" t="s">
        <v>108</v>
      </c>
      <c r="H7" s="103"/>
      <c r="I7" s="103"/>
      <c r="J7" s="104" t="s">
        <v>109</v>
      </c>
      <c r="K7" s="104"/>
      <c r="L7" s="104"/>
      <c r="M7" s="105" t="str">
        <f>COUNTIFS('Dashboard BMN'!$G$39:$G$63, "Baik", 'Dashboard BMN'!$O$39:$O$63, 1) &amp; " dari " &amp; Calc_Dashboard!A18 &amp; " Unit Siap Pakai"</f>
        <v>16 dari 25 Unit Siap Pakai</v>
      </c>
      <c r="N7" s="105"/>
    </row>
    <row r="8" spans="2:14" ht="16.5" customHeight="1"/>
    <row r="9" spans="2:14" ht="19.5" customHeight="1">
      <c r="B9" s="106" t="s">
        <v>143</v>
      </c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</row>
    <row r="10" spans="2:14" ht="13.5" customHeight="1">
      <c r="B10" s="107" t="s">
        <v>110</v>
      </c>
      <c r="C10" s="107"/>
      <c r="D10" s="107" t="s">
        <v>111</v>
      </c>
      <c r="E10" s="107"/>
      <c r="F10" s="107"/>
      <c r="G10" s="107" t="s">
        <v>112</v>
      </c>
      <c r="H10" s="107"/>
      <c r="I10" s="107"/>
      <c r="J10" s="107" t="s">
        <v>113</v>
      </c>
      <c r="K10" s="107"/>
      <c r="L10" s="107"/>
    </row>
    <row r="11" spans="2:14" ht="21.75" customHeight="1">
      <c r="B11" s="109" t="s">
        <v>114</v>
      </c>
      <c r="C11" s="109"/>
      <c r="D11" s="109" t="s">
        <v>114</v>
      </c>
      <c r="E11" s="109"/>
      <c r="F11" s="109"/>
      <c r="G11" s="109" t="s">
        <v>114</v>
      </c>
      <c r="H11" s="109"/>
      <c r="I11" s="109"/>
      <c r="J11" s="109" t="s">
        <v>114</v>
      </c>
      <c r="K11" s="109"/>
      <c r="L11" s="109"/>
    </row>
    <row r="37" spans="2:15" ht="22.5" customHeight="1">
      <c r="B37" s="110" t="s">
        <v>115</v>
      </c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110"/>
      <c r="N37" s="110"/>
    </row>
    <row r="38" spans="2:15" ht="21" customHeight="1">
      <c r="B38" s="57" t="s">
        <v>37</v>
      </c>
      <c r="C38" s="58" t="s">
        <v>1</v>
      </c>
      <c r="D38" s="58" t="s">
        <v>40</v>
      </c>
      <c r="E38" s="58" t="s">
        <v>39</v>
      </c>
      <c r="F38" s="58" t="s">
        <v>41</v>
      </c>
      <c r="G38" s="58" t="s">
        <v>42</v>
      </c>
      <c r="H38" s="58" t="s">
        <v>46</v>
      </c>
      <c r="I38" s="58" t="s">
        <v>44</v>
      </c>
      <c r="J38" s="58" t="s">
        <v>45</v>
      </c>
      <c r="K38" s="58" t="s">
        <v>4</v>
      </c>
      <c r="L38" s="58" t="s">
        <v>116</v>
      </c>
      <c r="M38" s="58" t="s">
        <v>96</v>
      </c>
      <c r="N38" s="59" t="s">
        <v>97</v>
      </c>
      <c r="O38" s="60" t="s">
        <v>117</v>
      </c>
    </row>
    <row r="39" spans="2:15" ht="16.5" customHeight="1">
      <c r="B39" s="61">
        <f>Dataset!A5</f>
        <v>1</v>
      </c>
      <c r="C39" s="62" t="str">
        <f>Dataset!C5</f>
        <v>3.05.01.04.001</v>
      </c>
      <c r="D39" s="63" t="str">
        <f>Dataset!E5</f>
        <v>Lemari Besi</v>
      </c>
      <c r="E39" s="62">
        <f>Dataset!D5</f>
        <v>1</v>
      </c>
      <c r="F39" s="62">
        <f>Dataset!F5</f>
        <v>2016</v>
      </c>
      <c r="G39" s="62" t="str">
        <f>Dataset!H5</f>
        <v>Baik</v>
      </c>
      <c r="H39" s="62" t="str">
        <f>Dataset!K5</f>
        <v>Lama</v>
      </c>
      <c r="I39" s="64">
        <f>Penyusutan!F5</f>
        <v>3500000</v>
      </c>
      <c r="J39" s="65">
        <f>Penyusutan!G5</f>
        <v>10</v>
      </c>
      <c r="K39" s="65">
        <f>Penyusutan!H5</f>
        <v>5</v>
      </c>
      <c r="L39" s="64">
        <f>Penyusutan!I5</f>
        <v>700000</v>
      </c>
      <c r="M39" s="64">
        <f>Penyusutan!J5</f>
        <v>3500000</v>
      </c>
      <c r="N39" s="66">
        <f>Penyusutan!K5</f>
        <v>0</v>
      </c>
      <c r="O39" s="67">
        <f t="shared" ref="O39:O63" si="0">IF(AND(OR($B$11="(Semua)",D39=$B$11),OR($D$11="(Semua)",F39=$D$11),OR($G$11="(Semua)",G39=$G$11),OR($J$11="(Semua)",H39=$J$11)),1,0)</f>
        <v>1</v>
      </c>
    </row>
    <row r="40" spans="2:15" ht="16.5" customHeight="1">
      <c r="B40" s="68">
        <f>Dataset!A6</f>
        <v>2</v>
      </c>
      <c r="C40" s="69" t="str">
        <f>Dataset!C6</f>
        <v>3.05.01.04.003</v>
      </c>
      <c r="D40" s="70" t="str">
        <f>Dataset!E6</f>
        <v>Lemari Kayu</v>
      </c>
      <c r="E40" s="69">
        <f>Dataset!D6</f>
        <v>2</v>
      </c>
      <c r="F40" s="69">
        <f>Dataset!F6</f>
        <v>2017</v>
      </c>
      <c r="G40" s="69" t="str">
        <f>Dataset!H6</f>
        <v>Baik</v>
      </c>
      <c r="H40" s="69" t="str">
        <f>Dataset!K6</f>
        <v>Lama</v>
      </c>
      <c r="I40" s="71">
        <f>Penyusutan!F6</f>
        <v>2765000</v>
      </c>
      <c r="J40" s="72">
        <f>Penyusutan!G6</f>
        <v>9</v>
      </c>
      <c r="K40" s="72">
        <f>Penyusutan!H6</f>
        <v>4</v>
      </c>
      <c r="L40" s="71">
        <f>Penyusutan!I6</f>
        <v>691250</v>
      </c>
      <c r="M40" s="71">
        <f>Penyusutan!J6</f>
        <v>2765000</v>
      </c>
      <c r="N40" s="73">
        <f>Penyusutan!K6</f>
        <v>0</v>
      </c>
      <c r="O40" s="67">
        <f t="shared" si="0"/>
        <v>1</v>
      </c>
    </row>
    <row r="41" spans="2:15" ht="16.5" customHeight="1">
      <c r="B41" s="61">
        <f>Dataset!A7</f>
        <v>3</v>
      </c>
      <c r="C41" s="62" t="str">
        <f>Dataset!C7</f>
        <v>3.05.02.01.001</v>
      </c>
      <c r="D41" s="63" t="str">
        <f>Dataset!E7</f>
        <v>Meja Kerja Kayu</v>
      </c>
      <c r="E41" s="62">
        <f>Dataset!D7</f>
        <v>3</v>
      </c>
      <c r="F41" s="62">
        <f>Dataset!F7</f>
        <v>2018</v>
      </c>
      <c r="G41" s="62" t="str">
        <f>Dataset!H7</f>
        <v>Rusak Ringan</v>
      </c>
      <c r="H41" s="62" t="str">
        <f>Dataset!K7</f>
        <v>Lama</v>
      </c>
      <c r="I41" s="64">
        <f>Penyusutan!F7</f>
        <v>1830000</v>
      </c>
      <c r="J41" s="65">
        <f>Penyusutan!G7</f>
        <v>8</v>
      </c>
      <c r="K41" s="65">
        <f>Penyusutan!H7</f>
        <v>5</v>
      </c>
      <c r="L41" s="64">
        <f>Penyusutan!I7</f>
        <v>366000</v>
      </c>
      <c r="M41" s="64">
        <f>Penyusutan!J7</f>
        <v>1830000</v>
      </c>
      <c r="N41" s="66">
        <f>Penyusutan!K7</f>
        <v>0</v>
      </c>
      <c r="O41" s="67">
        <f>IF(AND(OR($B$11="(Semua)",D41=$B$11),OR($D$11="(Semua)",F41=$D$11),OR($G$11="(Semua)",G41=$G$11),OR($J$11="(Semua)",H41=$J$11)),1,0)</f>
        <v>1</v>
      </c>
    </row>
    <row r="42" spans="2:15" ht="16.5" customHeight="1">
      <c r="B42" s="68">
        <f>Dataset!A8</f>
        <v>4</v>
      </c>
      <c r="C42" s="69" t="str">
        <f>Dataset!C8</f>
        <v>3.05.02.01.004</v>
      </c>
      <c r="D42" s="70" t="str">
        <f>Dataset!E8</f>
        <v>Kursi Kerja</v>
      </c>
      <c r="E42" s="69">
        <f>Dataset!D8</f>
        <v>4</v>
      </c>
      <c r="F42" s="69">
        <f>Dataset!F8</f>
        <v>2018</v>
      </c>
      <c r="G42" s="69" t="str">
        <f>Dataset!H8</f>
        <v>Baik</v>
      </c>
      <c r="H42" s="69" t="str">
        <f>Dataset!K8</f>
        <v>Lama</v>
      </c>
      <c r="I42" s="71">
        <f>Penyusutan!F8</f>
        <v>995000</v>
      </c>
      <c r="J42" s="72">
        <f>Penyusutan!G8</f>
        <v>8</v>
      </c>
      <c r="K42" s="72">
        <f>Penyusutan!H8</f>
        <v>5</v>
      </c>
      <c r="L42" s="71">
        <f>Penyusutan!I8</f>
        <v>199000</v>
      </c>
      <c r="M42" s="71">
        <f>Penyusutan!J8</f>
        <v>995000</v>
      </c>
      <c r="N42" s="73">
        <f>Penyusutan!K8</f>
        <v>0</v>
      </c>
      <c r="O42" s="67">
        <f t="shared" si="0"/>
        <v>1</v>
      </c>
    </row>
    <row r="43" spans="2:15" ht="16.5" customHeight="1">
      <c r="B43" s="61">
        <f>Dataset!A9</f>
        <v>5</v>
      </c>
      <c r="C43" s="62" t="str">
        <f>Dataset!C9</f>
        <v>3.05.02.03.002</v>
      </c>
      <c r="D43" s="63" t="str">
        <f>Dataset!E9</f>
        <v>AC Split</v>
      </c>
      <c r="E43" s="62">
        <f>Dataset!D9</f>
        <v>5</v>
      </c>
      <c r="F43" s="62">
        <f>Dataset!F9</f>
        <v>2019</v>
      </c>
      <c r="G43" s="62" t="str">
        <f>Dataset!H9</f>
        <v>Rusak Berat</v>
      </c>
      <c r="H43" s="62" t="str">
        <f>Dataset!K9</f>
        <v>Lama</v>
      </c>
      <c r="I43" s="64">
        <f>Penyusutan!F9</f>
        <v>4260000</v>
      </c>
      <c r="J43" s="65">
        <f>Penyusutan!G9</f>
        <v>7</v>
      </c>
      <c r="K43" s="65">
        <f>Penyusutan!H9</f>
        <v>5</v>
      </c>
      <c r="L43" s="64">
        <f>Penyusutan!I9</f>
        <v>852000</v>
      </c>
      <c r="M43" s="64">
        <f>Penyusutan!J9</f>
        <v>4260000</v>
      </c>
      <c r="N43" s="66">
        <f>Penyusutan!K9</f>
        <v>0</v>
      </c>
      <c r="O43" s="67">
        <f t="shared" si="0"/>
        <v>1</v>
      </c>
    </row>
    <row r="44" spans="2:15" ht="16.5" customHeight="1">
      <c r="B44" s="68">
        <f>Dataset!A10</f>
        <v>6</v>
      </c>
      <c r="C44" s="69" t="str">
        <f>Dataset!C10</f>
        <v>3.05.02.04.001</v>
      </c>
      <c r="D44" s="70" t="str">
        <f>Dataset!E10</f>
        <v>Televisi</v>
      </c>
      <c r="E44" s="69">
        <f>Dataset!D10</f>
        <v>6</v>
      </c>
      <c r="F44" s="69">
        <f>Dataset!F10</f>
        <v>2019</v>
      </c>
      <c r="G44" s="69" t="str">
        <f>Dataset!H10</f>
        <v>Baik</v>
      </c>
      <c r="H44" s="69" t="str">
        <f>Dataset!K10</f>
        <v>Lama</v>
      </c>
      <c r="I44" s="71">
        <f>Penyusutan!F10</f>
        <v>3175000</v>
      </c>
      <c r="J44" s="72">
        <f>Penyusutan!G10</f>
        <v>7</v>
      </c>
      <c r="K44" s="72">
        <f>Penyusutan!H10</f>
        <v>5</v>
      </c>
      <c r="L44" s="71">
        <f>Penyusutan!I10</f>
        <v>635000</v>
      </c>
      <c r="M44" s="71">
        <f>Penyusutan!J10</f>
        <v>3175000</v>
      </c>
      <c r="N44" s="73">
        <f>Penyusutan!K10</f>
        <v>0</v>
      </c>
      <c r="O44" s="67">
        <f t="shared" si="0"/>
        <v>1</v>
      </c>
    </row>
    <row r="45" spans="2:15" ht="16.5" customHeight="1">
      <c r="B45" s="61">
        <f>Dataset!A11</f>
        <v>7</v>
      </c>
      <c r="C45" s="62" t="str">
        <f>Dataset!C11</f>
        <v>3.05.02.06.008</v>
      </c>
      <c r="D45" s="63" t="str">
        <f>Dataset!E11</f>
        <v>Personal Komputer (PC Unit)</v>
      </c>
      <c r="E45" s="62">
        <f>Dataset!D11</f>
        <v>7</v>
      </c>
      <c r="F45" s="62">
        <f>Dataset!F11</f>
        <v>2020</v>
      </c>
      <c r="G45" s="62" t="str">
        <f>Dataset!H11</f>
        <v>Rusak Ringan</v>
      </c>
      <c r="H45" s="62" t="str">
        <f>Dataset!K11</f>
        <v>Lama</v>
      </c>
      <c r="I45" s="64">
        <f>Penyusutan!F11</f>
        <v>8590000</v>
      </c>
      <c r="J45" s="65">
        <f>Penyusutan!G11</f>
        <v>6</v>
      </c>
      <c r="K45" s="65">
        <f>Penyusutan!H11</f>
        <v>4</v>
      </c>
      <c r="L45" s="111">
        <f>Penyusutan!I11</f>
        <v>2147500</v>
      </c>
      <c r="M45" s="64">
        <f>Penyusutan!J11</f>
        <v>8590000</v>
      </c>
      <c r="N45" s="66">
        <f>Penyusutan!K11</f>
        <v>0</v>
      </c>
      <c r="O45" s="67">
        <f t="shared" si="0"/>
        <v>1</v>
      </c>
    </row>
    <row r="46" spans="2:15" ht="16.5" customHeight="1">
      <c r="B46" s="68">
        <f>Dataset!A12</f>
        <v>8</v>
      </c>
      <c r="C46" s="69" t="str">
        <f>Dataset!C12</f>
        <v>3.05.02.06.010</v>
      </c>
      <c r="D46" s="70" t="str">
        <f>Dataset!E12</f>
        <v>Printer</v>
      </c>
      <c r="E46" s="69">
        <f>Dataset!D12</f>
        <v>8</v>
      </c>
      <c r="F46" s="69">
        <f>Dataset!F12</f>
        <v>2020</v>
      </c>
      <c r="G46" s="69" t="str">
        <f>Dataset!H12</f>
        <v>Baik</v>
      </c>
      <c r="H46" s="69" t="str">
        <f>Dataset!K12</f>
        <v>Lama</v>
      </c>
      <c r="I46" s="71">
        <f>Penyusutan!F12</f>
        <v>2405000</v>
      </c>
      <c r="J46" s="72">
        <f>Penyusutan!G12</f>
        <v>6</v>
      </c>
      <c r="K46" s="72">
        <f>Penyusutan!H12</f>
        <v>4</v>
      </c>
      <c r="L46" s="71">
        <f>Penyusutan!I12</f>
        <v>601250</v>
      </c>
      <c r="M46" s="71">
        <f>Penyusutan!J12</f>
        <v>2405000</v>
      </c>
      <c r="N46" s="73">
        <f>Penyusutan!K12</f>
        <v>0</v>
      </c>
      <c r="O46" s="67">
        <f t="shared" si="0"/>
        <v>1</v>
      </c>
    </row>
    <row r="47" spans="2:15" ht="16.5" customHeight="1">
      <c r="B47" s="61">
        <f>Dataset!A13</f>
        <v>9</v>
      </c>
      <c r="C47" s="62" t="str">
        <f>Dataset!C13</f>
        <v>3.05.02.06.012</v>
      </c>
      <c r="D47" s="63" t="str">
        <f>Dataset!E13</f>
        <v>Laptop</v>
      </c>
      <c r="E47" s="62">
        <f>Dataset!D13</f>
        <v>9</v>
      </c>
      <c r="F47" s="62">
        <f>Dataset!F13</f>
        <v>2020</v>
      </c>
      <c r="G47" s="62" t="str">
        <f>Dataset!H13</f>
        <v>Baik</v>
      </c>
      <c r="H47" s="62" t="str">
        <f>Dataset!K13</f>
        <v>Lama</v>
      </c>
      <c r="I47" s="64">
        <f>Penyusutan!F13</f>
        <v>12120000</v>
      </c>
      <c r="J47" s="65">
        <f>Penyusutan!G13</f>
        <v>6</v>
      </c>
      <c r="K47" s="65">
        <f>Penyusutan!H13</f>
        <v>4</v>
      </c>
      <c r="L47" s="64">
        <f>Penyusutan!I13</f>
        <v>3030000</v>
      </c>
      <c r="M47" s="64">
        <f>Penyusutan!J13</f>
        <v>12120000</v>
      </c>
      <c r="N47" s="66">
        <f>Penyusutan!K13</f>
        <v>0</v>
      </c>
      <c r="O47" s="67">
        <f t="shared" si="0"/>
        <v>1</v>
      </c>
    </row>
    <row r="48" spans="2:15" ht="16.5" customHeight="1">
      <c r="B48" s="68">
        <f>Dataset!A14</f>
        <v>10</v>
      </c>
      <c r="C48" s="69" t="str">
        <f>Dataset!C14</f>
        <v>3.06.01.01.002</v>
      </c>
      <c r="D48" s="70" t="str">
        <f>Dataset!E14</f>
        <v>Kendaraan Bermotor Roda Dua</v>
      </c>
      <c r="E48" s="69">
        <f>Dataset!D14</f>
        <v>10</v>
      </c>
      <c r="F48" s="69">
        <f>Dataset!F14</f>
        <v>2021</v>
      </c>
      <c r="G48" s="69" t="str">
        <f>Dataset!H14</f>
        <v>Rusak Berat</v>
      </c>
      <c r="H48" s="69" t="str">
        <f>Dataset!K14</f>
        <v>Sedang Pakai</v>
      </c>
      <c r="I48" s="71">
        <f>Penyusutan!F14</f>
        <v>18635000</v>
      </c>
      <c r="J48" s="72">
        <f>Penyusutan!G14</f>
        <v>5</v>
      </c>
      <c r="K48" s="72">
        <f>Penyusutan!H14</f>
        <v>7</v>
      </c>
      <c r="L48" s="71">
        <f>Penyusutan!I14</f>
        <v>2662142.8571428573</v>
      </c>
      <c r="M48" s="71">
        <f>Penyusutan!J14</f>
        <v>13310714.285714287</v>
      </c>
      <c r="N48" s="73">
        <f>Penyusutan!K14</f>
        <v>5324285.7142857127</v>
      </c>
      <c r="O48" s="67">
        <f t="shared" si="0"/>
        <v>1</v>
      </c>
    </row>
    <row r="49" spans="2:15" ht="16.5" customHeight="1">
      <c r="B49" s="61">
        <f>Dataset!A15</f>
        <v>11</v>
      </c>
      <c r="C49" s="62" t="str">
        <f>Dataset!C15</f>
        <v>3.05.01.04.001</v>
      </c>
      <c r="D49" s="63" t="str">
        <f>Dataset!E15</f>
        <v>Lemari Besi</v>
      </c>
      <c r="E49" s="62">
        <f>Dataset!D15</f>
        <v>11</v>
      </c>
      <c r="F49" s="62">
        <f>Dataset!F15</f>
        <v>2021</v>
      </c>
      <c r="G49" s="62" t="str">
        <f>Dataset!H15</f>
        <v>Baik</v>
      </c>
      <c r="H49" s="62" t="str">
        <f>Dataset!K15</f>
        <v>Sedang Pakai</v>
      </c>
      <c r="I49" s="64">
        <f>Penyusutan!F15</f>
        <v>3650000</v>
      </c>
      <c r="J49" s="65">
        <f>Penyusutan!G15</f>
        <v>5</v>
      </c>
      <c r="K49" s="65">
        <f>Penyusutan!H15</f>
        <v>5</v>
      </c>
      <c r="L49" s="64">
        <f>Penyusutan!I15</f>
        <v>730000</v>
      </c>
      <c r="M49" s="64">
        <f>Penyusutan!J15</f>
        <v>3650000</v>
      </c>
      <c r="N49" s="66">
        <f>Penyusutan!K15</f>
        <v>0</v>
      </c>
      <c r="O49" s="67">
        <f t="shared" si="0"/>
        <v>1</v>
      </c>
    </row>
    <row r="50" spans="2:15" ht="16.5" customHeight="1">
      <c r="B50" s="68">
        <f>Dataset!A16</f>
        <v>12</v>
      </c>
      <c r="C50" s="69" t="str">
        <f>Dataset!C16</f>
        <v>3.05.01.04.003</v>
      </c>
      <c r="D50" s="70" t="str">
        <f>Dataset!E16</f>
        <v>Lemari Kayu</v>
      </c>
      <c r="E50" s="69">
        <f>Dataset!D16</f>
        <v>12</v>
      </c>
      <c r="F50" s="69">
        <f>Dataset!F16</f>
        <v>2021</v>
      </c>
      <c r="G50" s="69" t="str">
        <f>Dataset!H16</f>
        <v>Rusak Ringan</v>
      </c>
      <c r="H50" s="69" t="str">
        <f>Dataset!K16</f>
        <v>Sedang Pakai</v>
      </c>
      <c r="I50" s="71">
        <f>Penyusutan!F16</f>
        <v>2915000</v>
      </c>
      <c r="J50" s="72">
        <f>Penyusutan!G16</f>
        <v>5</v>
      </c>
      <c r="K50" s="72">
        <f>Penyusutan!H16</f>
        <v>4</v>
      </c>
      <c r="L50" s="71">
        <f>Penyusutan!I16</f>
        <v>728750</v>
      </c>
      <c r="M50" s="71">
        <f>Penyusutan!J16</f>
        <v>2915000</v>
      </c>
      <c r="N50" s="73">
        <f>Penyusutan!K16</f>
        <v>0</v>
      </c>
      <c r="O50" s="67">
        <f t="shared" si="0"/>
        <v>1</v>
      </c>
    </row>
    <row r="51" spans="2:15" ht="16.5" customHeight="1">
      <c r="B51" s="61">
        <f>Dataset!A17</f>
        <v>13</v>
      </c>
      <c r="C51" s="62" t="str">
        <f>Dataset!C17</f>
        <v>3.05.02.01.001</v>
      </c>
      <c r="D51" s="63" t="str">
        <f>Dataset!E17</f>
        <v>Meja Kerja Kayu</v>
      </c>
      <c r="E51" s="62">
        <f>Dataset!D17</f>
        <v>13</v>
      </c>
      <c r="F51" s="62">
        <f>Dataset!F17</f>
        <v>2022</v>
      </c>
      <c r="G51" s="62" t="str">
        <f>Dataset!H17</f>
        <v>Baik</v>
      </c>
      <c r="H51" s="62" t="str">
        <f>Dataset!K17</f>
        <v>Sedang Pakai</v>
      </c>
      <c r="I51" s="64">
        <f>Penyusutan!F17</f>
        <v>1980000</v>
      </c>
      <c r="J51" s="65">
        <f>Penyusutan!G17</f>
        <v>4</v>
      </c>
      <c r="K51" s="65">
        <f>Penyusutan!H17</f>
        <v>5</v>
      </c>
      <c r="L51" s="64">
        <f>Penyusutan!I17</f>
        <v>396000</v>
      </c>
      <c r="M51" s="64">
        <f>Penyusutan!J17</f>
        <v>1584000</v>
      </c>
      <c r="N51" s="66">
        <f>Penyusutan!K17</f>
        <v>396000</v>
      </c>
      <c r="O51" s="67">
        <f t="shared" si="0"/>
        <v>1</v>
      </c>
    </row>
    <row r="52" spans="2:15" ht="16.5" customHeight="1">
      <c r="B52" s="68">
        <f>Dataset!A18</f>
        <v>14</v>
      </c>
      <c r="C52" s="69" t="str">
        <f>Dataset!C18</f>
        <v>3.05.02.01.004</v>
      </c>
      <c r="D52" s="70" t="str">
        <f>Dataset!E18</f>
        <v>Kursi Kerja</v>
      </c>
      <c r="E52" s="69">
        <f>Dataset!D18</f>
        <v>14</v>
      </c>
      <c r="F52" s="69">
        <f>Dataset!F18</f>
        <v>2022</v>
      </c>
      <c r="G52" s="69" t="str">
        <f>Dataset!H18</f>
        <v>Baik</v>
      </c>
      <c r="H52" s="69" t="str">
        <f>Dataset!K18</f>
        <v>Sedang Pakai</v>
      </c>
      <c r="I52" s="71">
        <f>Penyusutan!F18</f>
        <v>1145000</v>
      </c>
      <c r="J52" s="72">
        <f>Penyusutan!G18</f>
        <v>4</v>
      </c>
      <c r="K52" s="72">
        <f>Penyusutan!H18</f>
        <v>5</v>
      </c>
      <c r="L52" s="71">
        <f>Penyusutan!I18</f>
        <v>229000</v>
      </c>
      <c r="M52" s="71">
        <f>Penyusutan!J18</f>
        <v>916000</v>
      </c>
      <c r="N52" s="73">
        <f>Penyusutan!K18</f>
        <v>229000</v>
      </c>
      <c r="O52" s="67">
        <f t="shared" si="0"/>
        <v>1</v>
      </c>
    </row>
    <row r="53" spans="2:15" ht="16.5" customHeight="1">
      <c r="B53" s="61">
        <f>Dataset!A19</f>
        <v>15</v>
      </c>
      <c r="C53" s="62" t="str">
        <f>Dataset!C19</f>
        <v>3.05.02.03.002</v>
      </c>
      <c r="D53" s="63" t="str">
        <f>Dataset!E19</f>
        <v>AC Split</v>
      </c>
      <c r="E53" s="62">
        <f>Dataset!D19</f>
        <v>15</v>
      </c>
      <c r="F53" s="62">
        <f>Dataset!F19</f>
        <v>2022</v>
      </c>
      <c r="G53" s="62" t="str">
        <f>Dataset!H19</f>
        <v>Rusak Berat</v>
      </c>
      <c r="H53" s="62" t="str">
        <f>Dataset!K19</f>
        <v>Sedang Pakai</v>
      </c>
      <c r="I53" s="64">
        <f>Penyusutan!F19</f>
        <v>4410000</v>
      </c>
      <c r="J53" s="65">
        <f>Penyusutan!G19</f>
        <v>4</v>
      </c>
      <c r="K53" s="65">
        <f>Penyusutan!H19</f>
        <v>5</v>
      </c>
      <c r="L53" s="64">
        <f>Penyusutan!I19</f>
        <v>882000</v>
      </c>
      <c r="M53" s="64">
        <f>Penyusutan!J19</f>
        <v>3528000</v>
      </c>
      <c r="N53" s="66">
        <f>Penyusutan!K19</f>
        <v>882000</v>
      </c>
      <c r="O53" s="67">
        <f t="shared" si="0"/>
        <v>1</v>
      </c>
    </row>
    <row r="54" spans="2:15" ht="16.5" customHeight="1">
      <c r="B54" s="68">
        <f>Dataset!A20</f>
        <v>16</v>
      </c>
      <c r="C54" s="69" t="str">
        <f>Dataset!C20</f>
        <v>3.05.02.04.001</v>
      </c>
      <c r="D54" s="70" t="str">
        <f>Dataset!E20</f>
        <v>Televisi</v>
      </c>
      <c r="E54" s="69">
        <f>Dataset!D20</f>
        <v>16</v>
      </c>
      <c r="F54" s="69">
        <f>Dataset!F20</f>
        <v>2023</v>
      </c>
      <c r="G54" s="69" t="str">
        <f>Dataset!H20</f>
        <v>Baik</v>
      </c>
      <c r="H54" s="69" t="str">
        <f>Dataset!K20</f>
        <v>Sedang Pakai</v>
      </c>
      <c r="I54" s="71">
        <f>Penyusutan!F20</f>
        <v>3325000</v>
      </c>
      <c r="J54" s="72">
        <f>Penyusutan!G20</f>
        <v>3</v>
      </c>
      <c r="K54" s="72">
        <f>Penyusutan!H20</f>
        <v>5</v>
      </c>
      <c r="L54" s="71">
        <f>Penyusutan!I20</f>
        <v>665000</v>
      </c>
      <c r="M54" s="71">
        <f>Penyusutan!J20</f>
        <v>1995000</v>
      </c>
      <c r="N54" s="73">
        <f>Penyusutan!K20</f>
        <v>1330000</v>
      </c>
      <c r="O54" s="67">
        <f t="shared" si="0"/>
        <v>1</v>
      </c>
    </row>
    <row r="55" spans="2:15" ht="16.5" customHeight="1">
      <c r="B55" s="61">
        <f>Dataset!A21</f>
        <v>17</v>
      </c>
      <c r="C55" s="62" t="str">
        <f>Dataset!C21</f>
        <v>3.05.02.06.008</v>
      </c>
      <c r="D55" s="63" t="str">
        <f>Dataset!E21</f>
        <v>Personal Komputer (PC Unit)</v>
      </c>
      <c r="E55" s="62">
        <f>Dataset!D21</f>
        <v>17</v>
      </c>
      <c r="F55" s="62">
        <f>Dataset!F21</f>
        <v>2023</v>
      </c>
      <c r="G55" s="62" t="str">
        <f>Dataset!H21</f>
        <v>Baik</v>
      </c>
      <c r="H55" s="62" t="str">
        <f>Dataset!K21</f>
        <v>Sedang Pakai</v>
      </c>
      <c r="I55" s="64">
        <f>Penyusutan!F21</f>
        <v>8740000</v>
      </c>
      <c r="J55" s="65">
        <f>Penyusutan!G21</f>
        <v>3</v>
      </c>
      <c r="K55" s="65">
        <f>Penyusutan!H21</f>
        <v>4</v>
      </c>
      <c r="L55" s="64">
        <f>Penyusutan!I21</f>
        <v>2185000</v>
      </c>
      <c r="M55" s="64">
        <f>Penyusutan!J21</f>
        <v>6555000</v>
      </c>
      <c r="N55" s="66">
        <f>Penyusutan!K21</f>
        <v>2185000</v>
      </c>
      <c r="O55" s="67">
        <f t="shared" si="0"/>
        <v>1</v>
      </c>
    </row>
    <row r="56" spans="2:15" ht="16.5" customHeight="1">
      <c r="B56" s="68">
        <f>Dataset!A22</f>
        <v>18</v>
      </c>
      <c r="C56" s="69" t="str">
        <f>Dataset!C22</f>
        <v>3.05.02.06.010</v>
      </c>
      <c r="D56" s="70" t="str">
        <f>Dataset!E22</f>
        <v>Printer</v>
      </c>
      <c r="E56" s="69">
        <f>Dataset!D22</f>
        <v>18</v>
      </c>
      <c r="F56" s="69">
        <f>Dataset!F22</f>
        <v>2023</v>
      </c>
      <c r="G56" s="69" t="str">
        <f>Dataset!H22</f>
        <v>Rusak Ringan</v>
      </c>
      <c r="H56" s="69" t="str">
        <f>Dataset!K22</f>
        <v>Sedang Pakai</v>
      </c>
      <c r="I56" s="71">
        <f>Penyusutan!F22</f>
        <v>2555000</v>
      </c>
      <c r="J56" s="72">
        <f>Penyusutan!G22</f>
        <v>3</v>
      </c>
      <c r="K56" s="72">
        <f>Penyusutan!H22</f>
        <v>4</v>
      </c>
      <c r="L56" s="71">
        <f>Penyusutan!I22</f>
        <v>638750</v>
      </c>
      <c r="M56" s="71">
        <f>Penyusutan!J22</f>
        <v>1916250</v>
      </c>
      <c r="N56" s="73">
        <f>Penyusutan!K22</f>
        <v>638750</v>
      </c>
      <c r="O56" s="67">
        <f t="shared" si="0"/>
        <v>1</v>
      </c>
    </row>
    <row r="57" spans="2:15" ht="16.5" customHeight="1">
      <c r="B57" s="61">
        <f>Dataset!A23</f>
        <v>19</v>
      </c>
      <c r="C57" s="62" t="str">
        <f>Dataset!C23</f>
        <v>3.05.02.06.012</v>
      </c>
      <c r="D57" s="63" t="str">
        <f>Dataset!E23</f>
        <v>Laptop</v>
      </c>
      <c r="E57" s="62">
        <f>Dataset!D23</f>
        <v>19</v>
      </c>
      <c r="F57" s="62">
        <f>Dataset!F23</f>
        <v>2023</v>
      </c>
      <c r="G57" s="62" t="str">
        <f>Dataset!H23</f>
        <v>Baik</v>
      </c>
      <c r="H57" s="62" t="str">
        <f>Dataset!K23</f>
        <v>Sedang Pakai</v>
      </c>
      <c r="I57" s="64">
        <f>Penyusutan!F23</f>
        <v>12270000</v>
      </c>
      <c r="J57" s="65">
        <f>Penyusutan!G23</f>
        <v>3</v>
      </c>
      <c r="K57" s="65">
        <f>Penyusutan!H23</f>
        <v>4</v>
      </c>
      <c r="L57" s="64">
        <f>Penyusutan!I23</f>
        <v>3067500</v>
      </c>
      <c r="M57" s="64">
        <f>Penyusutan!J23</f>
        <v>9202500</v>
      </c>
      <c r="N57" s="66">
        <f>Penyusutan!K23</f>
        <v>3067500</v>
      </c>
      <c r="O57" s="67">
        <f t="shared" si="0"/>
        <v>1</v>
      </c>
    </row>
    <row r="58" spans="2:15" ht="16.5" customHeight="1">
      <c r="B58" s="68">
        <f>Dataset!A24</f>
        <v>20</v>
      </c>
      <c r="C58" s="69" t="str">
        <f>Dataset!C24</f>
        <v>3.06.01.01.002</v>
      </c>
      <c r="D58" s="70" t="str">
        <f>Dataset!E24</f>
        <v>Kendaraan Bermotor Roda Dua</v>
      </c>
      <c r="E58" s="69">
        <f>Dataset!D24</f>
        <v>20</v>
      </c>
      <c r="F58" s="69">
        <f>Dataset!F24</f>
        <v>2024</v>
      </c>
      <c r="G58" s="69" t="str">
        <f>Dataset!H24</f>
        <v>Rusak Berat</v>
      </c>
      <c r="H58" s="69" t="str">
        <f>Dataset!K24</f>
        <v>Baru</v>
      </c>
      <c r="I58" s="71">
        <f>Penyusutan!F24</f>
        <v>18785000</v>
      </c>
      <c r="J58" s="72">
        <f>Penyusutan!G24</f>
        <v>2</v>
      </c>
      <c r="K58" s="72">
        <f>Penyusutan!H24</f>
        <v>7</v>
      </c>
      <c r="L58" s="71">
        <f>Penyusutan!I24</f>
        <v>2683571.4285714286</v>
      </c>
      <c r="M58" s="71">
        <f>Penyusutan!J24</f>
        <v>5367142.8571428573</v>
      </c>
      <c r="N58" s="73">
        <f>Penyusutan!K24</f>
        <v>13417857.142857142</v>
      </c>
      <c r="O58" s="67">
        <f t="shared" si="0"/>
        <v>1</v>
      </c>
    </row>
    <row r="59" spans="2:15" ht="16.5" customHeight="1">
      <c r="B59" s="61">
        <f>Dataset!A25</f>
        <v>21</v>
      </c>
      <c r="C59" s="62" t="str">
        <f>Dataset!C25</f>
        <v>3.05.01.04.001</v>
      </c>
      <c r="D59" s="63" t="str">
        <f>Dataset!E25</f>
        <v>Lemari Besi</v>
      </c>
      <c r="E59" s="62">
        <f>Dataset!D25</f>
        <v>21</v>
      </c>
      <c r="F59" s="62">
        <f>Dataset!F25</f>
        <v>2024</v>
      </c>
      <c r="G59" s="62" t="str">
        <f>Dataset!H25</f>
        <v>Baik</v>
      </c>
      <c r="H59" s="62" t="str">
        <f>Dataset!K25</f>
        <v>Baru</v>
      </c>
      <c r="I59" s="64">
        <f>Penyusutan!F25</f>
        <v>3800000</v>
      </c>
      <c r="J59" s="65">
        <f>Penyusutan!G25</f>
        <v>2</v>
      </c>
      <c r="K59" s="65">
        <f>Penyusutan!H25</f>
        <v>5</v>
      </c>
      <c r="L59" s="64">
        <f>Penyusutan!I25</f>
        <v>760000</v>
      </c>
      <c r="M59" s="64">
        <f>Penyusutan!J25</f>
        <v>1520000</v>
      </c>
      <c r="N59" s="66">
        <f>Penyusutan!K25</f>
        <v>2280000</v>
      </c>
      <c r="O59" s="67">
        <f t="shared" si="0"/>
        <v>1</v>
      </c>
    </row>
    <row r="60" spans="2:15" ht="16.5" customHeight="1">
      <c r="B60" s="68">
        <f>Dataset!A26</f>
        <v>22</v>
      </c>
      <c r="C60" s="69" t="str">
        <f>Dataset!C26</f>
        <v>3.05.01.04.003</v>
      </c>
      <c r="D60" s="70" t="str">
        <f>Dataset!E26</f>
        <v>Lemari Kayu</v>
      </c>
      <c r="E60" s="69">
        <f>Dataset!D26</f>
        <v>22</v>
      </c>
      <c r="F60" s="69">
        <f>Dataset!F26</f>
        <v>2024</v>
      </c>
      <c r="G60" s="69" t="str">
        <f>Dataset!H26</f>
        <v>Baik</v>
      </c>
      <c r="H60" s="69" t="str">
        <f>Dataset!K26</f>
        <v>Baru</v>
      </c>
      <c r="I60" s="71">
        <f>Penyusutan!F26</f>
        <v>3065000</v>
      </c>
      <c r="J60" s="72">
        <f>Penyusutan!G26</f>
        <v>2</v>
      </c>
      <c r="K60" s="72">
        <f>Penyusutan!H26</f>
        <v>4</v>
      </c>
      <c r="L60" s="71">
        <f>Penyusutan!I26</f>
        <v>766250</v>
      </c>
      <c r="M60" s="71">
        <f>Penyusutan!J26</f>
        <v>1532500</v>
      </c>
      <c r="N60" s="73">
        <f>Penyusutan!K26</f>
        <v>1532500</v>
      </c>
      <c r="O60" s="67">
        <f t="shared" si="0"/>
        <v>1</v>
      </c>
    </row>
    <row r="61" spans="2:15" ht="16.5" customHeight="1">
      <c r="B61" s="61">
        <f>Dataset!A27</f>
        <v>23</v>
      </c>
      <c r="C61" s="62" t="str">
        <f>Dataset!C27</f>
        <v>3.05.02.01.001</v>
      </c>
      <c r="D61" s="63" t="str">
        <f>Dataset!E27</f>
        <v>Meja Kerja Kayu</v>
      </c>
      <c r="E61" s="62">
        <f>Dataset!D27</f>
        <v>23</v>
      </c>
      <c r="F61" s="62">
        <f>Dataset!F27</f>
        <v>2024</v>
      </c>
      <c r="G61" s="62" t="str">
        <f>Dataset!H27</f>
        <v>Rusak Ringan</v>
      </c>
      <c r="H61" s="62" t="str">
        <f>Dataset!K27</f>
        <v>Baru</v>
      </c>
      <c r="I61" s="64">
        <f>Penyusutan!F27</f>
        <v>2130000</v>
      </c>
      <c r="J61" s="65">
        <f>Penyusutan!G27</f>
        <v>2</v>
      </c>
      <c r="K61" s="65">
        <f>Penyusutan!H27</f>
        <v>5</v>
      </c>
      <c r="L61" s="64">
        <f>Penyusutan!I27</f>
        <v>426000</v>
      </c>
      <c r="M61" s="64">
        <f>Penyusutan!J27</f>
        <v>852000</v>
      </c>
      <c r="N61" s="66">
        <f>Penyusutan!K27</f>
        <v>1278000</v>
      </c>
      <c r="O61" s="67">
        <f t="shared" si="0"/>
        <v>1</v>
      </c>
    </row>
    <row r="62" spans="2:15" ht="16.5" customHeight="1">
      <c r="B62" s="68">
        <f>Dataset!A28</f>
        <v>24</v>
      </c>
      <c r="C62" s="69" t="str">
        <f>Dataset!C28</f>
        <v>3.05.02.01.004</v>
      </c>
      <c r="D62" s="70" t="str">
        <f>Dataset!E28</f>
        <v>Kursi Kerja</v>
      </c>
      <c r="E62" s="69">
        <f>Dataset!D28</f>
        <v>24</v>
      </c>
      <c r="F62" s="69">
        <f>Dataset!F28</f>
        <v>2025</v>
      </c>
      <c r="G62" s="69" t="str">
        <f>Dataset!H28</f>
        <v>Baik</v>
      </c>
      <c r="H62" s="69" t="str">
        <f>Dataset!K28</f>
        <v>Baru</v>
      </c>
      <c r="I62" s="71">
        <f>Penyusutan!F28</f>
        <v>1295000</v>
      </c>
      <c r="J62" s="72">
        <f>Penyusutan!G28</f>
        <v>1</v>
      </c>
      <c r="K62" s="72">
        <f>Penyusutan!H28</f>
        <v>5</v>
      </c>
      <c r="L62" s="71">
        <f>Penyusutan!I28</f>
        <v>259000</v>
      </c>
      <c r="M62" s="71">
        <f>Penyusutan!J28</f>
        <v>259000</v>
      </c>
      <c r="N62" s="73">
        <f>Penyusutan!K28</f>
        <v>1036000</v>
      </c>
      <c r="O62" s="67">
        <f t="shared" si="0"/>
        <v>1</v>
      </c>
    </row>
    <row r="63" spans="2:15" ht="16.5" customHeight="1">
      <c r="B63" s="61">
        <f>Dataset!A29</f>
        <v>25</v>
      </c>
      <c r="C63" s="62" t="str">
        <f>Dataset!C29</f>
        <v>3.05.02.03.002</v>
      </c>
      <c r="D63" s="63" t="str">
        <f>Dataset!E29</f>
        <v>AC Split</v>
      </c>
      <c r="E63" s="62">
        <f>Dataset!D29</f>
        <v>25</v>
      </c>
      <c r="F63" s="62">
        <f>Dataset!F29</f>
        <v>2025</v>
      </c>
      <c r="G63" s="62" t="str">
        <f>Dataset!H29</f>
        <v>Baik</v>
      </c>
      <c r="H63" s="62" t="str">
        <f>Dataset!K29</f>
        <v>Baru</v>
      </c>
      <c r="I63" s="64">
        <f>Penyusutan!F29</f>
        <v>4560000</v>
      </c>
      <c r="J63" s="65">
        <f>Penyusutan!G29</f>
        <v>1</v>
      </c>
      <c r="K63" s="65">
        <f>Penyusutan!H29</f>
        <v>5</v>
      </c>
      <c r="L63" s="64">
        <f>Penyusutan!I29</f>
        <v>912000</v>
      </c>
      <c r="M63" s="64">
        <f>Penyusutan!J29</f>
        <v>912000</v>
      </c>
      <c r="N63" s="66">
        <f>Penyusutan!K29</f>
        <v>3648000</v>
      </c>
      <c r="O63" s="67">
        <f t="shared" si="0"/>
        <v>1</v>
      </c>
    </row>
    <row r="64" spans="2:15" ht="19.5" customHeight="1">
      <c r="B64" s="108" t="s">
        <v>118</v>
      </c>
      <c r="C64" s="108"/>
      <c r="D64" s="108"/>
      <c r="E64" s="108"/>
      <c r="F64" s="108"/>
      <c r="G64" s="108"/>
      <c r="H64" s="108"/>
      <c r="I64" s="74">
        <f>SUBTOTAL(109, I39:I63)</f>
        <v>132900000</v>
      </c>
      <c r="J64" s="74"/>
      <c r="K64" s="74"/>
      <c r="L64" s="74">
        <f>SUBTOTAL(109, L39:L63)</f>
        <v>27212964.285714287</v>
      </c>
      <c r="M64" s="74">
        <f>SUBTOTAL(109, M39:M63)</f>
        <v>95655107.142857134</v>
      </c>
      <c r="N64" s="75">
        <f>SUBTOTAL(109, N39:N63)</f>
        <v>37244892.857142851</v>
      </c>
    </row>
  </sheetData>
  <autoFilter ref="B38:N63" xr:uid="{00000000-0009-0000-0000-000004000000}"/>
  <mergeCells count="28">
    <mergeCell ref="B64:H64"/>
    <mergeCell ref="B11:C11"/>
    <mergeCell ref="D11:F11"/>
    <mergeCell ref="G11:I11"/>
    <mergeCell ref="J11:L11"/>
    <mergeCell ref="B37:N37"/>
    <mergeCell ref="B9:N9"/>
    <mergeCell ref="B10:C10"/>
    <mergeCell ref="D10:F10"/>
    <mergeCell ref="G10:I10"/>
    <mergeCell ref="J10:L10"/>
    <mergeCell ref="B7:C7"/>
    <mergeCell ref="D7:F7"/>
    <mergeCell ref="G7:I7"/>
    <mergeCell ref="J7:L7"/>
    <mergeCell ref="M7:N7"/>
    <mergeCell ref="B6:C6"/>
    <mergeCell ref="D6:F6"/>
    <mergeCell ref="G6:I6"/>
    <mergeCell ref="J6:L6"/>
    <mergeCell ref="M6:N6"/>
    <mergeCell ref="B2:N2"/>
    <mergeCell ref="B3:N3"/>
    <mergeCell ref="B5:C5"/>
    <mergeCell ref="D5:F5"/>
    <mergeCell ref="G5:I5"/>
    <mergeCell ref="J5:L5"/>
    <mergeCell ref="M5:N5"/>
  </mergeCells>
  <pageMargins left="0.75" right="0.75" top="1" bottom="1" header="0.511811023622047" footer="0.511811023622047"/>
  <pageSetup paperSize="9" orientation="portrait" horizontalDpi="300" verticalDpi="3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showInputMessage="1" showErrorMessage="1" errorTitle="Nilai tidak valid" error="Pilih salah satu nilai dari daftar dropdown." promptTitle="Nama Barang" prompt="Pilih Nama Barang untuk memfilter data" xr:uid="{00000000-0002-0000-0400-000000000000}">
          <x14:formula1>
            <xm:f>Calc_Dashboard!$P$5:$P$15</xm:f>
          </x14:formula1>
          <x14:formula2>
            <xm:f>0</xm:f>
          </x14:formula2>
          <xm:sqref>B11:C11</xm:sqref>
        </x14:dataValidation>
        <x14:dataValidation type="list" showInputMessage="1" showErrorMessage="1" errorTitle="Nilai tidak valid" error="Pilih salah satu nilai dari daftar dropdown." promptTitle="Tahun Perolehan" prompt="Pilih Tahun Perolehan untuk memfilter data" xr:uid="{00000000-0002-0000-0400-000001000000}">
          <x14:formula1>
            <xm:f>Calc_Dashboard!$Q$5:$Q$15</xm:f>
          </x14:formula1>
          <x14:formula2>
            <xm:f>0</xm:f>
          </x14:formula2>
          <xm:sqref>D11:F11</xm:sqref>
        </x14:dataValidation>
        <x14:dataValidation type="list" showInputMessage="1" showErrorMessage="1" errorTitle="Nilai tidak valid" error="Pilih salah satu nilai dari daftar dropdown." promptTitle="Kondisi" prompt="Pilih Kondisi untuk memfilter data" xr:uid="{00000000-0002-0000-0400-000002000000}">
          <x14:formula1>
            <xm:f>Calc_Dashboard!$R$5:$R$8</xm:f>
          </x14:formula1>
          <x14:formula2>
            <xm:f>0</xm:f>
          </x14:formula2>
          <xm:sqref>G11:I11</xm:sqref>
        </x14:dataValidation>
        <x14:dataValidation type="list" showInputMessage="1" showErrorMessage="1" errorTitle="Nilai tidak valid" error="Pilih salah satu nilai dari daftar dropdown." promptTitle="Status Usia" prompt="Pilih Status Usia untuk memfilter data" xr:uid="{00000000-0002-0000-0400-000003000000}">
          <x14:formula1>
            <xm:f>Calc_Dashboard!$S$5:$S$8</xm:f>
          </x14:formula1>
          <x14:formula2>
            <xm:f>0</xm:f>
          </x14:formula2>
          <xm:sqref>J11:L11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20"/>
  <sheetViews>
    <sheetView showGridLines="0" zoomScaleNormal="100" workbookViewId="0"/>
  </sheetViews>
  <sheetFormatPr defaultColWidth="14.42578125" defaultRowHeight="15"/>
  <sheetData>
    <row r="1" spans="1:19" ht="15" customHeight="1">
      <c r="A1" s="1" t="s">
        <v>119</v>
      </c>
      <c r="D1" s="1" t="s">
        <v>120</v>
      </c>
      <c r="G1" s="1" t="s">
        <v>121</v>
      </c>
      <c r="J1" s="1" t="s">
        <v>122</v>
      </c>
      <c r="M1" s="1" t="s">
        <v>123</v>
      </c>
    </row>
    <row r="3" spans="1:19" ht="15" customHeight="1">
      <c r="A3" s="1" t="s">
        <v>124</v>
      </c>
      <c r="D3" s="1" t="s">
        <v>125</v>
      </c>
      <c r="G3" s="1" t="s">
        <v>126</v>
      </c>
      <c r="J3" s="1" t="s">
        <v>127</v>
      </c>
      <c r="M3" s="1" t="s">
        <v>128</v>
      </c>
    </row>
    <row r="4" spans="1:19" ht="15" customHeight="1">
      <c r="A4" s="1" t="s">
        <v>42</v>
      </c>
      <c r="B4" s="1" t="s">
        <v>79</v>
      </c>
      <c r="D4" s="1" t="s">
        <v>40</v>
      </c>
      <c r="E4" s="1" t="s">
        <v>79</v>
      </c>
      <c r="G4" s="1" t="s">
        <v>41</v>
      </c>
      <c r="H4" s="1" t="s">
        <v>129</v>
      </c>
      <c r="J4" s="1" t="s">
        <v>40</v>
      </c>
      <c r="K4" s="1" t="s">
        <v>97</v>
      </c>
      <c r="M4" s="1" t="s">
        <v>46</v>
      </c>
      <c r="N4" s="1" t="s">
        <v>79</v>
      </c>
      <c r="P4" s="76" t="s">
        <v>130</v>
      </c>
      <c r="Q4" s="76" t="s">
        <v>131</v>
      </c>
      <c r="R4" s="76" t="s">
        <v>132</v>
      </c>
      <c r="S4" s="76" t="s">
        <v>133</v>
      </c>
    </row>
    <row r="5" spans="1:19" ht="15" customHeight="1">
      <c r="A5" s="1" t="s">
        <v>33</v>
      </c>
      <c r="B5" s="1">
        <f>COUNTIFS('Dashboard BMN'!$G$39:$G$63, A5, 'Dashboard BMN'!$O$39:$O$63, 1)</f>
        <v>16</v>
      </c>
      <c r="D5" s="1" t="s">
        <v>16</v>
      </c>
      <c r="E5" s="1">
        <f>COUNTIFS('Dashboard BMN'!$D$39:$D$63, D5, 'Dashboard BMN'!$O$39:$O$63, 1)</f>
        <v>3</v>
      </c>
      <c r="G5" s="1">
        <v>2016</v>
      </c>
      <c r="H5" s="77">
        <f>SUMIFS('Dashboard BMN'!$I$39:$I$63, 'Dashboard BMN'!$F$39:$F$63, G5, 'Dashboard BMN'!$O$39:$O$63, 1)</f>
        <v>3500000</v>
      </c>
      <c r="J5" s="1" t="s">
        <v>16</v>
      </c>
      <c r="K5" s="77">
        <f>SUMIFS('Dashboard BMN'!$N$39:$N$63, 'Dashboard BMN'!$D$39:$D$63, J5, 'Dashboard BMN'!$O$39:$O$63, 1)</f>
        <v>4530000</v>
      </c>
      <c r="M5" s="1" t="s">
        <v>81</v>
      </c>
      <c r="N5" s="1">
        <f>COUNTIFS('Dashboard BMN'!$H$39:$H$63, M5, 'Dashboard BMN'!$O$39:$O$63, 1)</f>
        <v>6</v>
      </c>
      <c r="P5" s="78" t="s">
        <v>114</v>
      </c>
      <c r="Q5" s="78" t="s">
        <v>114</v>
      </c>
      <c r="R5" s="78" t="s">
        <v>114</v>
      </c>
      <c r="S5" s="78" t="s">
        <v>114</v>
      </c>
    </row>
    <row r="6" spans="1:19" ht="15" customHeight="1">
      <c r="A6" s="1" t="s">
        <v>34</v>
      </c>
      <c r="B6" s="1">
        <f>COUNTIFS('Dashboard BMN'!$G$39:$G$63, A6, 'Dashboard BMN'!$O$39:$O$63, 1)</f>
        <v>5</v>
      </c>
      <c r="D6" s="1" t="s">
        <v>26</v>
      </c>
      <c r="E6" s="1">
        <f>COUNTIFS('Dashboard BMN'!$D$39:$D$63, D6, 'Dashboard BMN'!$O$39:$O$63, 1)</f>
        <v>2</v>
      </c>
      <c r="G6" s="1">
        <v>2017</v>
      </c>
      <c r="H6" s="77">
        <f>SUMIFS('Dashboard BMN'!$I$39:$I$63, 'Dashboard BMN'!$F$39:$F$63, G6, 'Dashboard BMN'!$O$39:$O$63, 1)</f>
        <v>2765000</v>
      </c>
      <c r="J6" s="1" t="s">
        <v>26</v>
      </c>
      <c r="K6" s="77">
        <f>SUMIFS('Dashboard BMN'!$N$39:$N$63, 'Dashboard BMN'!$D$39:$D$63, J6, 'Dashboard BMN'!$O$39:$O$63, 1)</f>
        <v>18742142.857142854</v>
      </c>
      <c r="M6" s="1" t="s">
        <v>83</v>
      </c>
      <c r="N6" s="1">
        <f>COUNTIFS('Dashboard BMN'!$H$39:$H$63, M6, 'Dashboard BMN'!$O$39:$O$63, 1)</f>
        <v>10</v>
      </c>
      <c r="P6" s="78" t="str">
        <f t="shared" ref="P6:P15" si="0">D5</f>
        <v>AC Split</v>
      </c>
      <c r="Q6" s="79">
        <f t="shared" ref="Q6:Q15" si="1">G5</f>
        <v>2016</v>
      </c>
      <c r="R6" s="78" t="str">
        <f>A5</f>
        <v>Baik</v>
      </c>
      <c r="S6" s="78" t="str">
        <f>M5</f>
        <v>Baru</v>
      </c>
    </row>
    <row r="7" spans="1:19" ht="15" customHeight="1">
      <c r="A7" s="1" t="s">
        <v>35</v>
      </c>
      <c r="B7" s="1">
        <f>COUNTIFS('Dashboard BMN'!$G$39:$G$63, A7, 'Dashboard BMN'!$O$39:$O$63, 1)</f>
        <v>4</v>
      </c>
      <c r="D7" s="1" t="s">
        <v>14</v>
      </c>
      <c r="E7" s="1">
        <f>COUNTIFS('Dashboard BMN'!$D$39:$D$63, D7, 'Dashboard BMN'!$O$39:$O$63, 1)</f>
        <v>3</v>
      </c>
      <c r="G7" s="1">
        <v>2018</v>
      </c>
      <c r="H7" s="77">
        <f>SUMIFS('Dashboard BMN'!$I$39:$I$63, 'Dashboard BMN'!$F$39:$F$63, G7, 'Dashboard BMN'!$O$39:$O$63, 1)</f>
        <v>2825000</v>
      </c>
      <c r="J7" s="1" t="s">
        <v>14</v>
      </c>
      <c r="K7" s="77">
        <f>SUMIFS('Dashboard BMN'!$N$39:$N$63, 'Dashboard BMN'!$D$39:$D$63, J7, 'Dashboard BMN'!$O$39:$O$63, 1)</f>
        <v>1265000</v>
      </c>
      <c r="M7" s="1" t="s">
        <v>85</v>
      </c>
      <c r="N7" s="1">
        <f>COUNTIFS('Dashboard BMN'!$H$39:$H$63, M7, 'Dashboard BMN'!$O$39:$O$63, 1)</f>
        <v>9</v>
      </c>
      <c r="P7" s="78" t="str">
        <f t="shared" si="0"/>
        <v>Kendaraan Bermotor Roda Dua</v>
      </c>
      <c r="Q7" s="79">
        <f t="shared" si="1"/>
        <v>2017</v>
      </c>
      <c r="R7" s="78" t="str">
        <f>A6</f>
        <v>Rusak Ringan</v>
      </c>
      <c r="S7" s="78" t="str">
        <f>M6</f>
        <v>Sedang Pakai</v>
      </c>
    </row>
    <row r="8" spans="1:19" ht="15" customHeight="1">
      <c r="D8" s="1" t="s">
        <v>24</v>
      </c>
      <c r="E8" s="1">
        <f>COUNTIFS('Dashboard BMN'!$D$39:$D$63, D8, 'Dashboard BMN'!$O$39:$O$63, 1)</f>
        <v>2</v>
      </c>
      <c r="G8" s="1">
        <v>2019</v>
      </c>
      <c r="H8" s="77">
        <f>SUMIFS('Dashboard BMN'!$I$39:$I$63, 'Dashboard BMN'!$F$39:$F$63, G8, 'Dashboard BMN'!$O$39:$O$63, 1)</f>
        <v>7435000</v>
      </c>
      <c r="J8" s="1" t="s">
        <v>24</v>
      </c>
      <c r="K8" s="77">
        <f>SUMIFS('Dashboard BMN'!$N$39:$N$63, 'Dashboard BMN'!$D$39:$D$63, J8, 'Dashboard BMN'!$O$39:$O$63, 1)</f>
        <v>3067500</v>
      </c>
      <c r="P8" s="78" t="str">
        <f t="shared" si="0"/>
        <v>Kursi Kerja</v>
      </c>
      <c r="Q8" s="79">
        <f t="shared" si="1"/>
        <v>2018</v>
      </c>
      <c r="R8" s="78" t="str">
        <f>A7</f>
        <v>Rusak Berat</v>
      </c>
      <c r="S8" s="78" t="str">
        <f>M7</f>
        <v>Lama</v>
      </c>
    </row>
    <row r="9" spans="1:19" ht="15" customHeight="1">
      <c r="D9" s="1" t="s">
        <v>6</v>
      </c>
      <c r="E9" s="1">
        <f>COUNTIFS('Dashboard BMN'!$D$39:$D$63, D9, 'Dashboard BMN'!$O$39:$O$63, 1)</f>
        <v>3</v>
      </c>
      <c r="G9" s="1">
        <v>2020</v>
      </c>
      <c r="H9" s="77">
        <f>SUMIFS('Dashboard BMN'!$I$39:$I$63, 'Dashboard BMN'!$F$39:$F$63, G9, 'Dashboard BMN'!$O$39:$O$63, 1)</f>
        <v>23115000</v>
      </c>
      <c r="J9" s="1" t="s">
        <v>6</v>
      </c>
      <c r="K9" s="77">
        <f>SUMIFS('Dashboard BMN'!$N$39:$N$63, 'Dashboard BMN'!$D$39:$D$63, J9, 'Dashboard BMN'!$O$39:$O$63, 1)</f>
        <v>2280000</v>
      </c>
      <c r="P9" s="78" t="str">
        <f t="shared" si="0"/>
        <v>Laptop</v>
      </c>
      <c r="Q9" s="79">
        <f t="shared" si="1"/>
        <v>2019</v>
      </c>
      <c r="R9" s="78"/>
      <c r="S9" s="78"/>
    </row>
    <row r="10" spans="1:19" ht="15" customHeight="1">
      <c r="D10" s="1" t="s">
        <v>9</v>
      </c>
      <c r="E10" s="1">
        <f>COUNTIFS('Dashboard BMN'!$D$39:$D$63, D10, 'Dashboard BMN'!$O$39:$O$63, 1)</f>
        <v>3</v>
      </c>
      <c r="G10" s="1">
        <v>2021</v>
      </c>
      <c r="H10" s="77">
        <f>SUMIFS('Dashboard BMN'!$I$39:$I$63, 'Dashboard BMN'!$F$39:$F$63, G10, 'Dashboard BMN'!$O$39:$O$63, 1)</f>
        <v>25200000</v>
      </c>
      <c r="J10" s="1" t="s">
        <v>9</v>
      </c>
      <c r="K10" s="77">
        <f>SUMIFS('Dashboard BMN'!$N$39:$N$63, 'Dashboard BMN'!$D$39:$D$63, J10, 'Dashboard BMN'!$O$39:$O$63, 1)</f>
        <v>1532500</v>
      </c>
      <c r="P10" s="78" t="str">
        <f t="shared" si="0"/>
        <v>Lemari Besi</v>
      </c>
      <c r="Q10" s="79">
        <f t="shared" si="1"/>
        <v>2020</v>
      </c>
      <c r="R10" s="78"/>
      <c r="S10" s="78"/>
    </row>
    <row r="11" spans="1:19" ht="15" customHeight="1">
      <c r="D11" s="1" t="s">
        <v>11</v>
      </c>
      <c r="E11" s="1">
        <f>COUNTIFS('Dashboard BMN'!$D$39:$D$63, D11, 'Dashboard BMN'!$O$39:$O$63, 1)</f>
        <v>3</v>
      </c>
      <c r="G11" s="1">
        <v>2022</v>
      </c>
      <c r="H11" s="77">
        <f>SUMIFS('Dashboard BMN'!$I$39:$I$63, 'Dashboard BMN'!$F$39:$F$63, G11, 'Dashboard BMN'!$O$39:$O$63, 1)</f>
        <v>7535000</v>
      </c>
      <c r="J11" s="1" t="s">
        <v>11</v>
      </c>
      <c r="K11" s="77">
        <f>SUMIFS('Dashboard BMN'!$N$39:$N$63, 'Dashboard BMN'!$D$39:$D$63, J11, 'Dashboard BMN'!$O$39:$O$63, 1)</f>
        <v>1674000</v>
      </c>
      <c r="P11" s="78" t="str">
        <f t="shared" si="0"/>
        <v>Lemari Kayu</v>
      </c>
      <c r="Q11" s="79">
        <f t="shared" si="1"/>
        <v>2021</v>
      </c>
      <c r="R11" s="78"/>
      <c r="S11" s="78"/>
    </row>
    <row r="12" spans="1:19" ht="15" customHeight="1">
      <c r="D12" s="1" t="s">
        <v>20</v>
      </c>
      <c r="E12" s="1">
        <f>COUNTIFS('Dashboard BMN'!$D$39:$D$63, D12, 'Dashboard BMN'!$O$39:$O$63, 1)</f>
        <v>2</v>
      </c>
      <c r="G12" s="1">
        <v>2023</v>
      </c>
      <c r="H12" s="77">
        <f>SUMIFS('Dashboard BMN'!$I$39:$I$63, 'Dashboard BMN'!$F$39:$F$63, G12, 'Dashboard BMN'!$O$39:$O$63, 1)</f>
        <v>26890000</v>
      </c>
      <c r="J12" s="1" t="s">
        <v>20</v>
      </c>
      <c r="K12" s="77">
        <f>SUMIFS('Dashboard BMN'!$N$39:$N$63, 'Dashboard BMN'!$D$39:$D$63, J12, 'Dashboard BMN'!$O$39:$O$63, 1)</f>
        <v>2185000</v>
      </c>
      <c r="P12" s="78" t="str">
        <f t="shared" si="0"/>
        <v>Meja Kerja Kayu</v>
      </c>
      <c r="Q12" s="79">
        <f t="shared" si="1"/>
        <v>2022</v>
      </c>
      <c r="R12" s="78"/>
      <c r="S12" s="78"/>
    </row>
    <row r="13" spans="1:19" ht="15" customHeight="1">
      <c r="D13" s="1" t="s">
        <v>22</v>
      </c>
      <c r="E13" s="1">
        <f>COUNTIFS('Dashboard BMN'!$D$39:$D$63, D13, 'Dashboard BMN'!$O$39:$O$63, 1)</f>
        <v>2</v>
      </c>
      <c r="G13" s="1">
        <v>2024</v>
      </c>
      <c r="H13" s="77">
        <f>SUMIFS('Dashboard BMN'!$I$39:$I$63, 'Dashboard BMN'!$F$39:$F$63, G13, 'Dashboard BMN'!$O$39:$O$63, 1)</f>
        <v>27780000</v>
      </c>
      <c r="J13" s="1" t="s">
        <v>22</v>
      </c>
      <c r="K13" s="77">
        <f>SUMIFS('Dashboard BMN'!$N$39:$N$63, 'Dashboard BMN'!$D$39:$D$63, J13, 'Dashboard BMN'!$O$39:$O$63, 1)</f>
        <v>638750</v>
      </c>
      <c r="P13" s="78" t="str">
        <f t="shared" si="0"/>
        <v>Personal Komputer (PC Unit)</v>
      </c>
      <c r="Q13" s="79">
        <f t="shared" si="1"/>
        <v>2023</v>
      </c>
      <c r="R13" s="78"/>
      <c r="S13" s="78"/>
    </row>
    <row r="14" spans="1:19" ht="15" customHeight="1">
      <c r="D14" s="1" t="s">
        <v>18</v>
      </c>
      <c r="E14" s="1">
        <f>COUNTIFS('Dashboard BMN'!$D$39:$D$63, D14, 'Dashboard BMN'!$O$39:$O$63, 1)</f>
        <v>2</v>
      </c>
      <c r="G14" s="1">
        <v>2025</v>
      </c>
      <c r="H14" s="77">
        <f>SUMIFS('Dashboard BMN'!$I$39:$I$63, 'Dashboard BMN'!$F$39:$F$63, G14, 'Dashboard BMN'!$O$39:$O$63, 1)</f>
        <v>5855000</v>
      </c>
      <c r="J14" s="1" t="s">
        <v>18</v>
      </c>
      <c r="K14" s="77">
        <f>SUMIFS('Dashboard BMN'!$N$39:$N$63, 'Dashboard BMN'!$D$39:$D$63, J14, 'Dashboard BMN'!$O$39:$O$63, 1)</f>
        <v>1330000</v>
      </c>
      <c r="P14" s="78" t="str">
        <f t="shared" si="0"/>
        <v>Printer</v>
      </c>
      <c r="Q14" s="79">
        <f t="shared" si="1"/>
        <v>2024</v>
      </c>
      <c r="R14" s="78"/>
      <c r="S14" s="78"/>
    </row>
    <row r="15" spans="1:19" ht="15" customHeight="1">
      <c r="M15" s="1" t="s">
        <v>134</v>
      </c>
      <c r="N15" s="1" t="s">
        <v>135</v>
      </c>
      <c r="P15" s="78" t="str">
        <f t="shared" si="0"/>
        <v>Televisi</v>
      </c>
      <c r="Q15" s="79">
        <f t="shared" si="1"/>
        <v>2025</v>
      </c>
      <c r="R15" s="78"/>
      <c r="S15" s="78"/>
    </row>
    <row r="16" spans="1:19" ht="15" customHeight="1">
      <c r="A16" s="1" t="s">
        <v>136</v>
      </c>
    </row>
    <row r="17" spans="1:13" ht="15" customHeight="1">
      <c r="A17" s="1" t="s">
        <v>137</v>
      </c>
      <c r="B17" s="1" t="s">
        <v>138</v>
      </c>
      <c r="C17" s="1" t="s">
        <v>139</v>
      </c>
      <c r="D17" s="1" t="s">
        <v>140</v>
      </c>
      <c r="E17" s="1" t="s">
        <v>141</v>
      </c>
    </row>
    <row r="18" spans="1:13" ht="15" customHeight="1">
      <c r="A18" s="1">
        <f>SUM('Dashboard BMN'!$O$39:$O$63)</f>
        <v>25</v>
      </c>
      <c r="B18" s="77">
        <f>SUMIFS('Dashboard BMN'!$I$39:$I$63, 'Dashboard BMN'!$O$39:$O$63, 1)</f>
        <v>132900000</v>
      </c>
      <c r="C18" s="77">
        <f>SUMIFS('Dashboard BMN'!$M$39:$M$63, 'Dashboard BMN'!$O$39:$O$63, 1)</f>
        <v>95655107.142857134</v>
      </c>
      <c r="D18" s="77">
        <f>SUMIFS('Dashboard BMN'!$N$39:$N$63, 'Dashboard BMN'!$O$39:$O$63, 1)</f>
        <v>37244892.857142851</v>
      </c>
      <c r="E18" s="80">
        <f>IFERROR(COUNTIFS('Dashboard BMN'!$G$39:$G$63, "Baik", 'Dashboard BMN'!$O$39:$O$63, 1) / A18, 0)</f>
        <v>0.64</v>
      </c>
    </row>
    <row r="19" spans="1:13" ht="15" customHeight="1">
      <c r="L19" s="1" t="s">
        <v>134</v>
      </c>
      <c r="M19" s="1" t="s">
        <v>134</v>
      </c>
    </row>
    <row r="20" spans="1:13" ht="15" customHeight="1">
      <c r="L20" s="1" t="s">
        <v>134</v>
      </c>
      <c r="M20" s="1" t="s">
        <v>134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Master Kode BMN</vt:lpstr>
      <vt:lpstr>Dataset</vt:lpstr>
      <vt:lpstr>Penyusutan</vt:lpstr>
      <vt:lpstr>Dashboard BMN</vt:lpstr>
      <vt:lpstr>Calc_Dashboard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Haji Hamid</cp:lastModifiedBy>
  <cp:revision>2</cp:revision>
  <dcterms:created xsi:type="dcterms:W3CDTF">2026-09-05T15:27:31Z</dcterms:created>
  <dcterms:modified xsi:type="dcterms:W3CDTF">2026-09-06T04:38:32Z</dcterms:modified>
  <dc:language>en-US</dc:language>
</cp:coreProperties>
</file>